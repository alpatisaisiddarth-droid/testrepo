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projects\testrepo\"/>
    </mc:Choice>
  </mc:AlternateContent>
  <xr:revisionPtr revIDLastSave="0" documentId="8_{EA34F3F0-CDA1-499E-8CD2-5226D48F78B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4" r:id="rId1"/>
    <sheet name="Sheet5" sheetId="6" r:id="rId2"/>
    <sheet name="Sheet4" sheetId="5" r:id="rId3"/>
    <sheet name="Sheet6" sheetId="7" r:id="rId4"/>
    <sheet name="Supermarket Sales" sheetId="1" r:id="rId5"/>
    <sheet name="sheet3" sheetId="3" r:id="rId6"/>
  </sheet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2" i="1" l="1"/>
  <c r="AS2" i="1"/>
  <c r="AR2" i="1"/>
  <c r="AP2" i="1"/>
  <c r="AF2" i="1" a="1"/>
  <c r="AF2" i="1" s="1"/>
  <c r="AE2" i="1"/>
  <c r="AD2" i="1"/>
  <c r="AC2" i="1"/>
  <c r="AB2" i="1" a="1"/>
  <c r="AB2" i="1"/>
  <c r="AA2" i="1"/>
  <c r="X2" i="1"/>
  <c r="W2" i="1"/>
  <c r="V2" i="1"/>
  <c r="R2" i="1"/>
  <c r="P2" i="1"/>
  <c r="O2" i="1"/>
  <c r="N2" i="1"/>
  <c r="M2" i="1"/>
  <c r="P4" i="1" a="1"/>
  <c r="P4" i="1" s="1"/>
  <c r="AE78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C34" i="1"/>
  <c r="AC46" i="1"/>
  <c r="AC56" i="1"/>
  <c r="AB12" i="1" a="1"/>
  <c r="AB12" i="1" s="1"/>
  <c r="AB22" i="1" a="1"/>
  <c r="AB22" i="1" s="1"/>
  <c r="AB23" i="1" a="1"/>
  <c r="AB23" i="1"/>
  <c r="AB45" i="1" a="1"/>
  <c r="AB45" i="1" s="1"/>
  <c r="AB48" i="1" a="1"/>
  <c r="AB48" i="1" s="1"/>
  <c r="AB58" i="1" a="1"/>
  <c r="AB58" i="1" s="1"/>
  <c r="AB59" i="1" a="1"/>
  <c r="AB59" i="1" s="1"/>
  <c r="AB81" i="1" a="1"/>
  <c r="AB81" i="1" s="1"/>
  <c r="AB84" i="1" a="1"/>
  <c r="AB84" i="1" s="1"/>
  <c r="AA31" i="1"/>
  <c r="AA32" i="1"/>
  <c r="AA70" i="1"/>
  <c r="AA72" i="1"/>
  <c r="AA79" i="1"/>
  <c r="AA80" i="1"/>
  <c r="AA24" i="1"/>
  <c r="Y2" i="1"/>
  <c r="I2" i="1"/>
  <c r="I86" i="1"/>
  <c r="AB86" i="1" s="1" a="1"/>
  <c r="AB86" i="1" s="1"/>
  <c r="I85" i="1"/>
  <c r="AA85" i="1" s="1"/>
  <c r="I84" i="1"/>
  <c r="AE84" i="1" s="1"/>
  <c r="I83" i="1"/>
  <c r="AB83" i="1" s="1" a="1"/>
  <c r="AB83" i="1" s="1"/>
  <c r="I82" i="1"/>
  <c r="AB82" i="1" s="1" a="1"/>
  <c r="AB82" i="1" s="1"/>
  <c r="I81" i="1"/>
  <c r="AA81" i="1" s="1"/>
  <c r="I80" i="1"/>
  <c r="AE80" i="1" s="1"/>
  <c r="I79" i="1"/>
  <c r="AE79" i="1" s="1"/>
  <c r="I78" i="1"/>
  <c r="AB78" i="1" s="1" a="1"/>
  <c r="AB78" i="1" s="1"/>
  <c r="I77" i="1"/>
  <c r="AB77" i="1" s="1" a="1"/>
  <c r="AB77" i="1" s="1"/>
  <c r="I76" i="1"/>
  <c r="AA76" i="1" s="1"/>
  <c r="I75" i="1"/>
  <c r="AB75" i="1" s="1" a="1"/>
  <c r="AB75" i="1" s="1"/>
  <c r="I74" i="1"/>
  <c r="AC74" i="1" s="1"/>
  <c r="I73" i="1"/>
  <c r="AA73" i="1" s="1"/>
  <c r="I72" i="1"/>
  <c r="AE72" i="1" s="1"/>
  <c r="I71" i="1"/>
  <c r="AA71" i="1" s="1"/>
  <c r="I70" i="1"/>
  <c r="AE70" i="1" s="1"/>
  <c r="I69" i="1"/>
  <c r="AA69" i="1" s="1"/>
  <c r="I68" i="1"/>
  <c r="AE68" i="1" s="1"/>
  <c r="I67" i="1"/>
  <c r="AE67" i="1" s="1"/>
  <c r="I66" i="1"/>
  <c r="AC66" i="1" s="1"/>
  <c r="I65" i="1"/>
  <c r="AB65" i="1" s="1" a="1"/>
  <c r="AB65" i="1" s="1"/>
  <c r="I64" i="1"/>
  <c r="AA64" i="1" s="1"/>
  <c r="I63" i="1"/>
  <c r="AA63" i="1" s="1"/>
  <c r="I62" i="1"/>
  <c r="AB62" i="1" s="1" a="1"/>
  <c r="AB62" i="1" s="1"/>
  <c r="I61" i="1"/>
  <c r="AB61" i="1" s="1" a="1"/>
  <c r="AB61" i="1" s="1"/>
  <c r="I60" i="1"/>
  <c r="AE60" i="1" s="1"/>
  <c r="I59" i="1"/>
  <c r="AA59" i="1" s="1"/>
  <c r="I58" i="1"/>
  <c r="AE58" i="1" s="1"/>
  <c r="I57" i="1"/>
  <c r="AA57" i="1" s="1"/>
  <c r="I56" i="1"/>
  <c r="AE56" i="1" s="1"/>
  <c r="I55" i="1"/>
  <c r="AE55" i="1" s="1"/>
  <c r="I54" i="1"/>
  <c r="AB54" i="1" s="1" a="1"/>
  <c r="AB54" i="1" s="1"/>
  <c r="I53" i="1"/>
  <c r="AB53" i="1" s="1" a="1"/>
  <c r="AB53" i="1" s="1"/>
  <c r="I52" i="1"/>
  <c r="AE52" i="1" s="1"/>
  <c r="I51" i="1"/>
  <c r="AC51" i="1" s="1"/>
  <c r="I50" i="1"/>
  <c r="AE50" i="1" s="1"/>
  <c r="I49" i="1"/>
  <c r="AA49" i="1" s="1"/>
  <c r="I48" i="1"/>
  <c r="AE48" i="1" s="1"/>
  <c r="I47" i="1"/>
  <c r="AB47" i="1" s="1" a="1"/>
  <c r="AB47" i="1" s="1"/>
  <c r="I46" i="1"/>
  <c r="AB46" i="1" s="1" a="1"/>
  <c r="AB46" i="1" s="1"/>
  <c r="I45" i="1"/>
  <c r="AA45" i="1" s="1"/>
  <c r="I44" i="1"/>
  <c r="AE44" i="1" s="1"/>
  <c r="I43" i="1"/>
  <c r="AE43" i="1" s="1"/>
  <c r="I42" i="1"/>
  <c r="AB42" i="1" s="1" a="1"/>
  <c r="AB42" i="1" s="1"/>
  <c r="I41" i="1"/>
  <c r="AB41" i="1" s="1" a="1"/>
  <c r="AB41" i="1" s="1"/>
  <c r="I40" i="1"/>
  <c r="AA40" i="1" s="1"/>
  <c r="I39" i="1"/>
  <c r="AB39" i="1" s="1" a="1"/>
  <c r="AB39" i="1" s="1"/>
  <c r="I38" i="1"/>
  <c r="AE38" i="1" s="1"/>
  <c r="I37" i="1"/>
  <c r="AA37" i="1" s="1"/>
  <c r="I36" i="1"/>
  <c r="AE36" i="1" s="1"/>
  <c r="I35" i="1"/>
  <c r="AA35" i="1" s="1"/>
  <c r="I34" i="1"/>
  <c r="AE34" i="1" s="1"/>
  <c r="I33" i="1"/>
  <c r="AA33" i="1" s="1"/>
  <c r="I32" i="1"/>
  <c r="AE32" i="1" s="1"/>
  <c r="I31" i="1"/>
  <c r="AE31" i="1" s="1"/>
  <c r="I30" i="1"/>
  <c r="AA30" i="1" s="1"/>
  <c r="I29" i="1"/>
  <c r="AB29" i="1" s="1" a="1"/>
  <c r="AB29" i="1" s="1"/>
  <c r="I28" i="1"/>
  <c r="AA28" i="1" s="1"/>
  <c r="I27" i="1"/>
  <c r="AC27" i="1" s="1"/>
  <c r="I26" i="1"/>
  <c r="AB26" i="1" s="1" a="1"/>
  <c r="AB26" i="1" s="1"/>
  <c r="I25" i="1"/>
  <c r="AB25" i="1" s="1" a="1"/>
  <c r="AB25" i="1" s="1"/>
  <c r="I24" i="1"/>
  <c r="AE24" i="1" s="1"/>
  <c r="I23" i="1"/>
  <c r="AA23" i="1" s="1"/>
  <c r="I22" i="1"/>
  <c r="AE22" i="1" s="1"/>
  <c r="I21" i="1"/>
  <c r="AA21" i="1" s="1"/>
  <c r="I20" i="1"/>
  <c r="AE20" i="1" s="1"/>
  <c r="I19" i="1"/>
  <c r="AE19" i="1" s="1"/>
  <c r="I18" i="1"/>
  <c r="AB18" i="1" s="1" a="1"/>
  <c r="AB18" i="1" s="1"/>
  <c r="I17" i="1"/>
  <c r="AC17" i="1" s="1"/>
  <c r="I16" i="1"/>
  <c r="AA16" i="1" s="1"/>
  <c r="I15" i="1"/>
  <c r="AC15" i="1" s="1"/>
  <c r="I14" i="1"/>
  <c r="AE14" i="1" s="1"/>
  <c r="I13" i="1"/>
  <c r="AB13" i="1" s="1" a="1"/>
  <c r="AB13" i="1" s="1"/>
  <c r="I12" i="1"/>
  <c r="AE12" i="1" s="1"/>
  <c r="I11" i="1"/>
  <c r="AA11" i="1" s="1"/>
  <c r="I10" i="1"/>
  <c r="AE10" i="1" s="1"/>
  <c r="I9" i="1"/>
  <c r="AA9" i="1" s="1"/>
  <c r="I8" i="1"/>
  <c r="AE8" i="1" s="1"/>
  <c r="I7" i="1"/>
  <c r="AE7" i="1" s="1"/>
  <c r="I6" i="1"/>
  <c r="AB6" i="1" s="1" a="1"/>
  <c r="AB6" i="1" s="1"/>
  <c r="I5" i="1"/>
  <c r="AB5" i="1" s="1" a="1"/>
  <c r="AB5" i="1" s="1"/>
  <c r="I4" i="1"/>
  <c r="AA4" i="1" s="1"/>
  <c r="I3" i="1"/>
  <c r="AC3" i="1" s="1"/>
  <c r="AC54" i="1" l="1"/>
  <c r="AE30" i="1"/>
  <c r="AE18" i="1"/>
  <c r="AC32" i="1"/>
  <c r="AE17" i="1"/>
  <c r="AA58" i="1"/>
  <c r="AB80" i="1" a="1"/>
  <c r="AB80" i="1" s="1"/>
  <c r="AC30" i="1"/>
  <c r="AE6" i="1"/>
  <c r="AA20" i="1"/>
  <c r="AA56" i="1"/>
  <c r="AB8" i="1" a="1"/>
  <c r="AB8" i="1" s="1"/>
  <c r="AA19" i="1"/>
  <c r="AA55" i="1"/>
  <c r="AB67" i="1" a="1"/>
  <c r="AB67" i="1" s="1"/>
  <c r="AB43" i="1" a="1"/>
  <c r="AB43" i="1" s="1"/>
  <c r="AC82" i="1"/>
  <c r="AC22" i="1"/>
  <c r="AC80" i="1"/>
  <c r="AA12" i="1"/>
  <c r="AB36" i="1" a="1"/>
  <c r="AB36" i="1" s="1"/>
  <c r="AA10" i="1"/>
  <c r="AA46" i="1"/>
  <c r="AB60" i="1" a="1"/>
  <c r="AB60" i="1" s="1"/>
  <c r="AB30" i="1" a="1"/>
  <c r="AB30" i="1" s="1"/>
  <c r="AC64" i="1"/>
  <c r="AC5" i="1"/>
  <c r="AA84" i="1"/>
  <c r="AA78" i="1"/>
  <c r="AE29" i="1"/>
  <c r="AB9" i="1" a="1"/>
  <c r="AB9" i="1" s="1"/>
  <c r="AA22" i="1"/>
  <c r="AB44" i="1" a="1"/>
  <c r="AB44" i="1" s="1"/>
  <c r="AB68" i="1" a="1"/>
  <c r="AB68" i="1" s="1"/>
  <c r="AC29" i="1"/>
  <c r="AA18" i="1"/>
  <c r="AA54" i="1"/>
  <c r="AC20" i="1"/>
  <c r="AA48" i="1"/>
  <c r="AB66" i="1" a="1"/>
  <c r="AB66" i="1" s="1"/>
  <c r="AC65" i="1"/>
  <c r="AC6" i="1"/>
  <c r="AA82" i="1"/>
  <c r="AA34" i="1"/>
  <c r="AB24" i="1" a="1"/>
  <c r="AB24" i="1" s="1"/>
  <c r="AC58" i="1"/>
  <c r="AC4" i="1"/>
  <c r="AA17" i="1"/>
  <c r="AC53" i="1"/>
  <c r="AE77" i="1"/>
  <c r="AC52" i="1"/>
  <c r="AA67" i="1"/>
  <c r="AA7" i="1"/>
  <c r="AA42" i="1"/>
  <c r="AB74" i="1" a="1"/>
  <c r="AB74" i="1" s="1"/>
  <c r="AB55" i="1" a="1"/>
  <c r="AB55" i="1" s="1"/>
  <c r="AB32" i="1" a="1"/>
  <c r="AB32" i="1" s="1"/>
  <c r="AB11" i="1" a="1"/>
  <c r="AB11" i="1" s="1"/>
  <c r="AC70" i="1"/>
  <c r="AC42" i="1"/>
  <c r="AC16" i="1"/>
  <c r="AE53" i="1"/>
  <c r="AA8" i="1"/>
  <c r="AA43" i="1"/>
  <c r="AB57" i="1" a="1"/>
  <c r="AB57" i="1" s="1"/>
  <c r="AC76" i="1"/>
  <c r="AA6" i="1"/>
  <c r="AB10" i="1" a="1"/>
  <c r="AB10" i="1" s="1"/>
  <c r="AC41" i="1"/>
  <c r="AE42" i="1"/>
  <c r="AB4" i="1" a="1"/>
  <c r="AB4" i="1" s="1"/>
  <c r="AA77" i="1"/>
  <c r="AA53" i="1"/>
  <c r="AC28" i="1"/>
  <c r="AE5" i="1"/>
  <c r="AB38" i="1" a="1"/>
  <c r="AB38" i="1" s="1"/>
  <c r="AB17" i="1" a="1"/>
  <c r="AB17" i="1" s="1"/>
  <c r="AC78" i="1"/>
  <c r="AE66" i="1"/>
  <c r="AA68" i="1"/>
  <c r="AA44" i="1"/>
  <c r="AB16" i="1" a="1"/>
  <c r="AB16" i="1" s="1"/>
  <c r="AC77" i="1"/>
  <c r="AC18" i="1"/>
  <c r="AE65" i="1"/>
  <c r="AB79" i="1" a="1"/>
  <c r="AB79" i="1" s="1"/>
  <c r="AC44" i="1"/>
  <c r="AE54" i="1"/>
  <c r="AA66" i="1"/>
  <c r="AA65" i="1"/>
  <c r="AA41" i="1"/>
  <c r="AB31" i="1" a="1"/>
  <c r="AB31" i="1" s="1"/>
  <c r="AC68" i="1"/>
  <c r="AC10" i="1"/>
  <c r="AA29" i="1"/>
  <c r="AA5" i="1"/>
  <c r="AA60" i="1"/>
  <c r="AA36" i="1"/>
  <c r="AB72" i="1" a="1"/>
  <c r="AB72" i="1" s="1"/>
  <c r="AB52" i="1" a="1"/>
  <c r="AB52" i="1" s="1"/>
  <c r="AC40" i="1"/>
  <c r="AC8" i="1"/>
  <c r="AE41" i="1"/>
  <c r="AB73" i="1" a="1"/>
  <c r="AB73" i="1" s="1"/>
  <c r="AC63" i="1"/>
  <c r="AE16" i="1"/>
  <c r="AA52" i="1"/>
  <c r="AC50" i="1"/>
  <c r="AE75" i="1"/>
  <c r="AE63" i="1"/>
  <c r="AE51" i="1"/>
  <c r="AE27" i="1"/>
  <c r="AE3" i="1"/>
  <c r="AA26" i="1"/>
  <c r="AA14" i="1"/>
  <c r="AA86" i="1"/>
  <c r="AA74" i="1"/>
  <c r="AA62" i="1"/>
  <c r="AA50" i="1"/>
  <c r="AA38" i="1"/>
  <c r="AB85" i="1" a="1"/>
  <c r="AB85" i="1" s="1"/>
  <c r="AB71" i="1" a="1"/>
  <c r="AB71" i="1" s="1"/>
  <c r="AB63" i="1" a="1"/>
  <c r="AB63" i="1" s="1"/>
  <c r="AB56" i="1" a="1"/>
  <c r="AB56" i="1" s="1"/>
  <c r="AB49" i="1" a="1"/>
  <c r="AB49" i="1" s="1"/>
  <c r="AB35" i="1" a="1"/>
  <c r="AB35" i="1" s="1"/>
  <c r="AB14" i="1" a="1"/>
  <c r="AB14" i="1" s="1"/>
  <c r="AC84" i="1"/>
  <c r="AC72" i="1"/>
  <c r="AC60" i="1"/>
  <c r="AC48" i="1"/>
  <c r="AC36" i="1"/>
  <c r="AC24" i="1"/>
  <c r="AC12" i="1"/>
  <c r="AE85" i="1"/>
  <c r="AE73" i="1"/>
  <c r="AE61" i="1"/>
  <c r="AE49" i="1"/>
  <c r="AE37" i="1"/>
  <c r="AE25" i="1"/>
  <c r="AE13" i="1"/>
  <c r="AB37" i="1" a="1"/>
  <c r="AB37" i="1" s="1"/>
  <c r="AB3" i="1" a="1"/>
  <c r="AB3" i="1" s="1"/>
  <c r="AC39" i="1"/>
  <c r="AB50" i="1" a="1"/>
  <c r="AB50" i="1" s="1"/>
  <c r="AB15" i="1" a="1"/>
  <c r="AB15" i="1" s="1"/>
  <c r="AC86" i="1"/>
  <c r="AC62" i="1"/>
  <c r="AC38" i="1"/>
  <c r="AC26" i="1"/>
  <c r="AC14" i="1"/>
  <c r="AE15" i="1"/>
  <c r="AA51" i="1"/>
  <c r="AA39" i="1"/>
  <c r="AB64" i="1" a="1"/>
  <c r="AB64" i="1" s="1"/>
  <c r="AB28" i="1" a="1"/>
  <c r="AB28" i="1" s="1"/>
  <c r="AB21" i="1" a="1"/>
  <c r="AB21" i="1" s="1"/>
  <c r="AC85" i="1"/>
  <c r="AC73" i="1"/>
  <c r="AC61" i="1"/>
  <c r="AC49" i="1"/>
  <c r="AC37" i="1"/>
  <c r="AC25" i="1"/>
  <c r="AC13" i="1"/>
  <c r="AE86" i="1"/>
  <c r="AE74" i="1"/>
  <c r="AE62" i="1"/>
  <c r="AE26" i="1"/>
  <c r="S2" i="1"/>
  <c r="AA25" i="1"/>
  <c r="AA13" i="1"/>
  <c r="AA61" i="1"/>
  <c r="AB70" i="1" a="1"/>
  <c r="AB70" i="1" s="1"/>
  <c r="AB34" i="1" a="1"/>
  <c r="AB34" i="1" s="1"/>
  <c r="AB27" i="1" a="1"/>
  <c r="AB27" i="1" s="1"/>
  <c r="AB20" i="1" a="1"/>
  <c r="AB20" i="1" s="1"/>
  <c r="AB7" i="1" a="1"/>
  <c r="AB7" i="1" s="1"/>
  <c r="AC83" i="1"/>
  <c r="AC71" i="1"/>
  <c r="AC59" i="1"/>
  <c r="AC47" i="1"/>
  <c r="AC35" i="1"/>
  <c r="AC23" i="1"/>
  <c r="AC11" i="1"/>
  <c r="AA27" i="1"/>
  <c r="AA15" i="1"/>
  <c r="AA3" i="1"/>
  <c r="AA75" i="1"/>
  <c r="AB69" i="1" a="1"/>
  <c r="AB69" i="1" s="1"/>
  <c r="AB33" i="1" a="1"/>
  <c r="AB33" i="1" s="1"/>
  <c r="AE83" i="1"/>
  <c r="AE71" i="1"/>
  <c r="AE59" i="1"/>
  <c r="AE47" i="1"/>
  <c r="AE35" i="1"/>
  <c r="AE23" i="1"/>
  <c r="AE11" i="1"/>
  <c r="AA83" i="1"/>
  <c r="AA47" i="1"/>
  <c r="AB76" i="1" a="1"/>
  <c r="AB76" i="1" s="1"/>
  <c r="AB40" i="1" a="1"/>
  <c r="AB40" i="1" s="1"/>
  <c r="AB19" i="1" a="1"/>
  <c r="AB19" i="1" s="1"/>
  <c r="AC81" i="1"/>
  <c r="AC69" i="1"/>
  <c r="AC57" i="1"/>
  <c r="AC45" i="1"/>
  <c r="AC33" i="1"/>
  <c r="AC21" i="1"/>
  <c r="AC9" i="1"/>
  <c r="AE82" i="1"/>
  <c r="AE46" i="1"/>
  <c r="AB51" i="1" a="1"/>
  <c r="AB51" i="1" s="1"/>
  <c r="AC75" i="1"/>
  <c r="AE76" i="1"/>
  <c r="AE64" i="1"/>
  <c r="AE40" i="1"/>
  <c r="AE28" i="1"/>
  <c r="AE4" i="1"/>
  <c r="AE39" i="1"/>
  <c r="T2" i="1"/>
  <c r="AE81" i="1"/>
  <c r="AE69" i="1"/>
  <c r="AE57" i="1"/>
  <c r="AE45" i="1"/>
  <c r="AE33" i="1"/>
  <c r="AE21" i="1"/>
  <c r="AE9" i="1"/>
  <c r="AC79" i="1"/>
  <c r="AC67" i="1"/>
  <c r="AC55" i="1"/>
  <c r="AC43" i="1"/>
  <c r="AC31" i="1"/>
  <c r="AC19" i="1"/>
  <c r="A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<sst xmlns="http://schemas.openxmlformats.org/spreadsheetml/2006/main" count="745" uniqueCount="228">
  <si>
    <t>Date</t>
  </si>
  <si>
    <t>City</t>
  </si>
  <si>
    <t>Branch</t>
  </si>
  <si>
    <t>Product Category</t>
  </si>
  <si>
    <t>Product Name</t>
  </si>
  <si>
    <t>Unit Price</t>
  </si>
  <si>
    <t>Quantity</t>
  </si>
  <si>
    <t>Total Sales</t>
  </si>
  <si>
    <t>Payment Method</t>
  </si>
  <si>
    <t>Customer Rating</t>
  </si>
  <si>
    <t>INV1001</t>
  </si>
  <si>
    <t>2026-01-01</t>
  </si>
  <si>
    <t>Hyderabad</t>
  </si>
  <si>
    <t>A</t>
  </si>
  <si>
    <t>Groceries</t>
  </si>
  <si>
    <t>Sugar</t>
  </si>
  <si>
    <t>UPI</t>
  </si>
  <si>
    <t>INV1002</t>
  </si>
  <si>
    <t>2026-01-02</t>
  </si>
  <si>
    <t>Personal Care</t>
  </si>
  <si>
    <t>Toothpaste</t>
  </si>
  <si>
    <t>INV1003</t>
  </si>
  <si>
    <t>2026-01-03</t>
  </si>
  <si>
    <t>Shampoo</t>
  </si>
  <si>
    <t>INV1004</t>
  </si>
  <si>
    <t>2026-01-04</t>
  </si>
  <si>
    <t>Nalgonda</t>
  </si>
  <si>
    <t>C</t>
  </si>
  <si>
    <t>Dal</t>
  </si>
  <si>
    <t>Cash</t>
  </si>
  <si>
    <t>INV1005</t>
  </si>
  <si>
    <t>2026-01-05</t>
  </si>
  <si>
    <t>Rice</t>
  </si>
  <si>
    <t>INV1006</t>
  </si>
  <si>
    <t>2026-01-06</t>
  </si>
  <si>
    <t>Wheat Flour</t>
  </si>
  <si>
    <t>INV1007</t>
  </si>
  <si>
    <t>2026-01-07</t>
  </si>
  <si>
    <t>Face Wash</t>
  </si>
  <si>
    <t>Card</t>
  </si>
  <si>
    <t>INV1008</t>
  </si>
  <si>
    <t>2026-01-08</t>
  </si>
  <si>
    <t>Warangal</t>
  </si>
  <si>
    <t>B</t>
  </si>
  <si>
    <t>Snacks</t>
  </si>
  <si>
    <t>Chips</t>
  </si>
  <si>
    <t>INV1009</t>
  </si>
  <si>
    <t>2026-01-09</t>
  </si>
  <si>
    <t>Beverages</t>
  </si>
  <si>
    <t>Juice</t>
  </si>
  <si>
    <t>INV1010</t>
  </si>
  <si>
    <t>2026-01-10</t>
  </si>
  <si>
    <t>INV1011</t>
  </si>
  <si>
    <t>2026-01-11</t>
  </si>
  <si>
    <t>Mahabubnagar</t>
  </si>
  <si>
    <t>D</t>
  </si>
  <si>
    <t>Popcorn</t>
  </si>
  <si>
    <t>INV1012</t>
  </si>
  <si>
    <t>2026-01-12</t>
  </si>
  <si>
    <t>Tea Powder</t>
  </si>
  <si>
    <t>INV1013</t>
  </si>
  <si>
    <t>2026-01-13</t>
  </si>
  <si>
    <t>Soft Drink</t>
  </si>
  <si>
    <t>INV1014</t>
  </si>
  <si>
    <t>2026-01-14</t>
  </si>
  <si>
    <t>Milkshake</t>
  </si>
  <si>
    <t>INV1015</t>
  </si>
  <si>
    <t>2026-01-15</t>
  </si>
  <si>
    <t>Biscuits</t>
  </si>
  <si>
    <t>INV1016</t>
  </si>
  <si>
    <t>2026-01-16</t>
  </si>
  <si>
    <t>INV1017</t>
  </si>
  <si>
    <t>2026-01-17</t>
  </si>
  <si>
    <t>Dairy</t>
  </si>
  <si>
    <t>Paneer</t>
  </si>
  <si>
    <t>INV1018</t>
  </si>
  <si>
    <t>2026-01-18</t>
  </si>
  <si>
    <t>Oil</t>
  </si>
  <si>
    <t>INV1019</t>
  </si>
  <si>
    <t>2026-01-19</t>
  </si>
  <si>
    <t>INV1020</t>
  </si>
  <si>
    <t>2026-01-20</t>
  </si>
  <si>
    <t>Soap</t>
  </si>
  <si>
    <t>INV1021</t>
  </si>
  <si>
    <t>2026-01-21</t>
  </si>
  <si>
    <t>INV1022</t>
  </si>
  <si>
    <t>2026-01-22</t>
  </si>
  <si>
    <t>INV1023</t>
  </si>
  <si>
    <t>2026-01-23</t>
  </si>
  <si>
    <t>INV1024</t>
  </si>
  <si>
    <t>2026-01-24</t>
  </si>
  <si>
    <t>INV1025</t>
  </si>
  <si>
    <t>2026-01-25</t>
  </si>
  <si>
    <t>INV1026</t>
  </si>
  <si>
    <t>2026-01-26</t>
  </si>
  <si>
    <t>INV1027</t>
  </si>
  <si>
    <t>2026-01-27</t>
  </si>
  <si>
    <t>Hand Wash</t>
  </si>
  <si>
    <t>INV1028</t>
  </si>
  <si>
    <t>2026-01-28</t>
  </si>
  <si>
    <t>INV1029</t>
  </si>
  <si>
    <t>2026-01-29</t>
  </si>
  <si>
    <t>Curd</t>
  </si>
  <si>
    <t>INV1030</t>
  </si>
  <si>
    <t>2026-01-30</t>
  </si>
  <si>
    <t>INV1031</t>
  </si>
  <si>
    <t>2026-01-31</t>
  </si>
  <si>
    <t>Namkeen</t>
  </si>
  <si>
    <t>INV1032</t>
  </si>
  <si>
    <t>2026-02-01</t>
  </si>
  <si>
    <t>INV1033</t>
  </si>
  <si>
    <t>2026-02-02</t>
  </si>
  <si>
    <t>INV1034</t>
  </si>
  <si>
    <t>2026-02-03</t>
  </si>
  <si>
    <t>INV1035</t>
  </si>
  <si>
    <t>2026-02-04</t>
  </si>
  <si>
    <t>INV1036</t>
  </si>
  <si>
    <t>2026-02-05</t>
  </si>
  <si>
    <t>INV1037</t>
  </si>
  <si>
    <t>2026-02-06</t>
  </si>
  <si>
    <t>INV1038</t>
  </si>
  <si>
    <t>2026-02-07</t>
  </si>
  <si>
    <t>INV1039</t>
  </si>
  <si>
    <t>2026-02-08</t>
  </si>
  <si>
    <t>INV1040</t>
  </si>
  <si>
    <t>2026-02-09</t>
  </si>
  <si>
    <t>INV1041</t>
  </si>
  <si>
    <t>2026-02-10</t>
  </si>
  <si>
    <t>Milk</t>
  </si>
  <si>
    <t>INV1042</t>
  </si>
  <si>
    <t>2026-02-11</t>
  </si>
  <si>
    <t>INV1043</t>
  </si>
  <si>
    <t>2026-02-12</t>
  </si>
  <si>
    <t>INV1044</t>
  </si>
  <si>
    <t>2026-02-13</t>
  </si>
  <si>
    <t>Butter</t>
  </si>
  <si>
    <t>INV1045</t>
  </si>
  <si>
    <t>2026-02-14</t>
  </si>
  <si>
    <t>INV1046</t>
  </si>
  <si>
    <t>2026-02-15</t>
  </si>
  <si>
    <t>INV1047</t>
  </si>
  <si>
    <t>2026-02-16</t>
  </si>
  <si>
    <t>INV1048</t>
  </si>
  <si>
    <t>2026-02-17</t>
  </si>
  <si>
    <t>INV1049</t>
  </si>
  <si>
    <t>2026-02-18</t>
  </si>
  <si>
    <t>INV1050</t>
  </si>
  <si>
    <t>2026-02-19</t>
  </si>
  <si>
    <t>INV1051</t>
  </si>
  <si>
    <t>2026-02-20</t>
  </si>
  <si>
    <t>INV1052</t>
  </si>
  <si>
    <t>2026-02-21</t>
  </si>
  <si>
    <t>INV1053</t>
  </si>
  <si>
    <t>2026-02-22</t>
  </si>
  <si>
    <t>INV1054</t>
  </si>
  <si>
    <t>2026-02-23</t>
  </si>
  <si>
    <t>INV1055</t>
  </si>
  <si>
    <t>2026-02-24</t>
  </si>
  <si>
    <t>INV1056</t>
  </si>
  <si>
    <t>2026-02-25</t>
  </si>
  <si>
    <t>Coffee</t>
  </si>
  <si>
    <t>INV1057</t>
  </si>
  <si>
    <t>2026-02-26</t>
  </si>
  <si>
    <t>INV1058</t>
  </si>
  <si>
    <t>2026-02-27</t>
  </si>
  <si>
    <t>INV1059</t>
  </si>
  <si>
    <t>2026-02-28</t>
  </si>
  <si>
    <t>INV1060</t>
  </si>
  <si>
    <t>2026-03-01</t>
  </si>
  <si>
    <t>Cookies</t>
  </si>
  <si>
    <t>INV1061</t>
  </si>
  <si>
    <t>2026-03-02</t>
  </si>
  <si>
    <t>INV1062</t>
  </si>
  <si>
    <t>2026-03-03</t>
  </si>
  <si>
    <t>INV1063</t>
  </si>
  <si>
    <t>2026-03-04</t>
  </si>
  <si>
    <t>INV1064</t>
  </si>
  <si>
    <t>2026-03-05</t>
  </si>
  <si>
    <t>INV1065</t>
  </si>
  <si>
    <t>2026-03-06</t>
  </si>
  <si>
    <t>INV1066</t>
  </si>
  <si>
    <t>2026-03-07</t>
  </si>
  <si>
    <t>INV1067</t>
  </si>
  <si>
    <t>2026-03-08</t>
  </si>
  <si>
    <t>INV1068</t>
  </si>
  <si>
    <t>2026-03-09</t>
  </si>
  <si>
    <t>INV1069</t>
  </si>
  <si>
    <t>2026-03-10</t>
  </si>
  <si>
    <t>INV1070</t>
  </si>
  <si>
    <t>2026-03-11</t>
  </si>
  <si>
    <t>Cheese</t>
  </si>
  <si>
    <t>INV1071</t>
  </si>
  <si>
    <t>2026-03-12</t>
  </si>
  <si>
    <t>INV1072</t>
  </si>
  <si>
    <t>2026-03-13</t>
  </si>
  <si>
    <t>INV1073</t>
  </si>
  <si>
    <t>2026-03-14</t>
  </si>
  <si>
    <t>INV1074</t>
  </si>
  <si>
    <t>2026-03-15</t>
  </si>
  <si>
    <t>INV1075</t>
  </si>
  <si>
    <t>2026-03-16</t>
  </si>
  <si>
    <t>INV1076</t>
  </si>
  <si>
    <t>2026-03-17</t>
  </si>
  <si>
    <t>INV1077</t>
  </si>
  <si>
    <t>2026-03-18</t>
  </si>
  <si>
    <t>INV1078</t>
  </si>
  <si>
    <t>2026-03-19</t>
  </si>
  <si>
    <t>INV1079</t>
  </si>
  <si>
    <t>2026-03-20</t>
  </si>
  <si>
    <t>INV1080</t>
  </si>
  <si>
    <t>2026-03-21</t>
  </si>
  <si>
    <t>INV1081</t>
  </si>
  <si>
    <t>2026-03-22</t>
  </si>
  <si>
    <t>INV1082</t>
  </si>
  <si>
    <t>2026-03-23</t>
  </si>
  <si>
    <t>INV1083</t>
  </si>
  <si>
    <t>2026-03-24</t>
  </si>
  <si>
    <t>INV1084</t>
  </si>
  <si>
    <t>2026-03-25</t>
  </si>
  <si>
    <t>INV1085</t>
  </si>
  <si>
    <t>2026-03-26</t>
  </si>
  <si>
    <t>Invoice ID</t>
  </si>
  <si>
    <t>Row Labels</t>
  </si>
  <si>
    <t>(blank)</t>
  </si>
  <si>
    <t>Grand Total</t>
  </si>
  <si>
    <t>Sum of Total Sales</t>
  </si>
  <si>
    <t>Sum of Unit 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</si>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</sst>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SAI SIDDARTHA" refreshedDate="46220.441575115743" createdVersion="8" refreshedVersion="8" minRefreshableVersion="3" recordCount="86" xr:uid="{A506046E-62E8-43B9-9061-74FFDCAB7B72}">
  <cacheSource type="worksheet">
    <worksheetSource ref="A1:K1048576" sheet="Supermarket Sales"/>
  </cacheSource>
  <cacheFields count="11">
    <cacheField name="Invoice ID" numFmtId="0">
      <sharedItems containsBlank="1" count="86">
        <s v="INV1001"/>
        <s v="INV1002"/>
        <s v="INV1003"/>
        <s v="INV1004"/>
        <s v="INV1005"/>
        <s v="INV1006"/>
        <s v="INV1007"/>
        <s v="INV1008"/>
        <s v="INV1009"/>
        <s v="INV1010"/>
        <s v="INV1011"/>
        <s v="INV1012"/>
        <s v="INV1013"/>
        <s v="INV1014"/>
        <s v="INV1015"/>
        <s v="INV1016"/>
        <s v="INV1017"/>
        <s v="INV1018"/>
        <s v="INV1019"/>
        <s v="INV1020"/>
        <s v="INV1021"/>
        <s v="INV1022"/>
        <s v="INV1023"/>
        <s v="INV1024"/>
        <s v="INV1025"/>
        <s v="INV1026"/>
        <s v="INV1027"/>
        <s v="INV1028"/>
        <s v="INV1029"/>
        <s v="INV1030"/>
        <s v="INV1031"/>
        <s v="INV1032"/>
        <s v="INV1033"/>
        <s v="INV1034"/>
        <s v="INV1035"/>
        <s v="INV1036"/>
        <s v="INV1037"/>
        <s v="INV1038"/>
        <s v="INV1039"/>
        <s v="INV1040"/>
        <s v="INV1041"/>
        <s v="INV1042"/>
        <s v="INV1043"/>
        <s v="INV1044"/>
        <s v="INV1045"/>
        <s v="INV1046"/>
        <s v="INV1047"/>
        <s v="INV1048"/>
        <s v="INV1049"/>
        <s v="INV1050"/>
        <s v="INV1051"/>
        <s v="INV1052"/>
        <s v="INV1053"/>
        <s v="INV1054"/>
        <s v="INV1055"/>
        <s v="INV1056"/>
        <s v="INV1057"/>
        <s v="INV1058"/>
        <s v="INV1059"/>
        <s v="INV1060"/>
        <s v="INV1061"/>
        <s v="INV1062"/>
        <s v="INV1063"/>
        <s v="INV1064"/>
        <s v="INV1065"/>
        <s v="INV1066"/>
        <s v="INV1067"/>
        <s v="INV1068"/>
        <s v="INV1069"/>
        <s v="INV1070"/>
        <s v="INV1071"/>
        <s v="INV1072"/>
        <s v="INV1073"/>
        <s v="INV1074"/>
        <s v="INV1075"/>
        <s v="INV1076"/>
        <s v="INV1077"/>
        <s v="INV1078"/>
        <s v="INV1079"/>
        <s v="INV1080"/>
        <s v="INV1081"/>
        <s v="INV1082"/>
        <s v="INV1083"/>
        <s v="INV1084"/>
        <s v="INV1085"/>
        <m/>
      </sharedItems>
    </cacheField>
    <cacheField name="Date" numFmtId="0">
      <sharedItems containsBlank="1"/>
    </cacheField>
    <cacheField name="City" numFmtId="0">
      <sharedItems containsBlank="1" count="5">
        <s v="Hyderabad"/>
        <s v="Nalgonda"/>
        <s v="Warangal"/>
        <s v="Mahabubnagar"/>
        <m/>
      </sharedItems>
    </cacheField>
    <cacheField name="Branch" numFmtId="0">
      <sharedItems containsBlank="1" count="5">
        <s v="A"/>
        <s v="C"/>
        <s v="B"/>
        <s v="D"/>
        <m/>
      </sharedItems>
    </cacheField>
    <cacheField name="Product Category" numFmtId="0">
      <sharedItems containsBlank="1" count="6">
        <s v="Groceries"/>
        <s v="Personal Care"/>
        <s v="Snacks"/>
        <s v="Beverages"/>
        <s v="Dairy"/>
        <m/>
      </sharedItems>
    </cacheField>
    <cacheField name="Product Name" numFmtId="0">
      <sharedItems containsBlank="1" count="26">
        <s v="Sugar"/>
        <s v="Toothpaste"/>
        <s v="Shampoo"/>
        <s v="Dal"/>
        <s v="Rice"/>
        <s v="Wheat Flour"/>
        <s v="Face Wash"/>
        <s v="Chips"/>
        <s v="Juice"/>
        <s v="Popcorn"/>
        <s v="Tea Powder"/>
        <s v="Soft Drink"/>
        <s v="Milkshake"/>
        <s v="Biscuits"/>
        <s v="Paneer"/>
        <s v="Oil"/>
        <s v="Soap"/>
        <s v="Hand Wash"/>
        <s v="Curd"/>
        <s v="Namkeen"/>
        <s v="Milk"/>
        <s v="Butter"/>
        <s v="Coffee"/>
        <s v="Cookies"/>
        <s v="Cheese"/>
        <m/>
      </sharedItems>
    </cacheField>
    <cacheField name="Unit Price" numFmtId="0">
      <sharedItems containsString="0" containsBlank="1" containsNumber="1" containsInteger="1" minValue="30" maxValue="260"/>
    </cacheField>
    <cacheField name="Quantity" numFmtId="0">
      <sharedItems containsString="0" containsBlank="1" containsNumber="1" containsInteger="1" minValue="2" maxValue="25"/>
    </cacheField>
    <cacheField name="Total Sales" numFmtId="0">
      <sharedItems containsString="0" containsBlank="1" containsNumber="1" containsInteger="1" minValue="70" maxValue="6250"/>
    </cacheField>
    <cacheField name="Payment Method" numFmtId="0">
      <sharedItems containsBlank="1"/>
    </cacheField>
    <cacheField name="Customer Rating" numFmtId="0">
      <sharedItems containsString="0" containsBlank="1" containsNumber="1" minValue="4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s v="2026-01-01"/>
    <x v="0"/>
    <x v="0"/>
    <x v="0"/>
    <x v="0"/>
    <n v="70"/>
    <n v="9"/>
    <n v="630"/>
    <s v="UPI"/>
    <n v="4.7"/>
  </r>
  <r>
    <x v="1"/>
    <s v="2026-01-02"/>
    <x v="0"/>
    <x v="0"/>
    <x v="1"/>
    <x v="1"/>
    <n v="35"/>
    <n v="2"/>
    <n v="70"/>
    <s v="UPI"/>
    <n v="4.2"/>
  </r>
  <r>
    <x v="2"/>
    <s v="2026-01-03"/>
    <x v="0"/>
    <x v="0"/>
    <x v="1"/>
    <x v="2"/>
    <n v="250"/>
    <n v="15"/>
    <n v="3750"/>
    <s v="UPI"/>
    <n v="4.4000000000000004"/>
  </r>
  <r>
    <x v="3"/>
    <s v="2026-01-04"/>
    <x v="1"/>
    <x v="1"/>
    <x v="0"/>
    <x v="3"/>
    <n v="140"/>
    <n v="12"/>
    <n v="1680"/>
    <s v="Cash"/>
    <n v="4.2"/>
  </r>
  <r>
    <x v="4"/>
    <s v="2026-01-05"/>
    <x v="1"/>
    <x v="1"/>
    <x v="0"/>
    <x v="4"/>
    <n v="120"/>
    <n v="5"/>
    <n v="600"/>
    <s v="Cash"/>
    <n v="4.8"/>
  </r>
  <r>
    <x v="5"/>
    <s v="2026-01-06"/>
    <x v="1"/>
    <x v="1"/>
    <x v="0"/>
    <x v="5"/>
    <n v="250"/>
    <n v="5"/>
    <n v="1250"/>
    <s v="Cash"/>
    <n v="4.0999999999999996"/>
  </r>
  <r>
    <x v="6"/>
    <s v="2026-01-07"/>
    <x v="1"/>
    <x v="1"/>
    <x v="1"/>
    <x v="6"/>
    <n v="260"/>
    <n v="8"/>
    <n v="2080"/>
    <s v="Card"/>
    <n v="4.0999999999999996"/>
  </r>
  <r>
    <x v="7"/>
    <s v="2026-01-08"/>
    <x v="2"/>
    <x v="2"/>
    <x v="2"/>
    <x v="7"/>
    <n v="70"/>
    <n v="5"/>
    <n v="350"/>
    <s v="Cash"/>
    <n v="4.3"/>
  </r>
  <r>
    <x v="8"/>
    <s v="2026-01-09"/>
    <x v="1"/>
    <x v="1"/>
    <x v="3"/>
    <x v="8"/>
    <n v="110"/>
    <n v="8"/>
    <n v="880"/>
    <s v="Card"/>
    <n v="4.3"/>
  </r>
  <r>
    <x v="9"/>
    <s v="2026-01-10"/>
    <x v="0"/>
    <x v="0"/>
    <x v="1"/>
    <x v="2"/>
    <n v="250"/>
    <n v="25"/>
    <n v="6250"/>
    <s v="UPI"/>
    <n v="4.2"/>
  </r>
  <r>
    <x v="10"/>
    <s v="2026-01-11"/>
    <x v="3"/>
    <x v="3"/>
    <x v="2"/>
    <x v="9"/>
    <n v="70"/>
    <n v="23"/>
    <n v="1610"/>
    <s v="Cash"/>
    <n v="4.8"/>
  </r>
  <r>
    <x v="11"/>
    <s v="2026-01-12"/>
    <x v="0"/>
    <x v="0"/>
    <x v="3"/>
    <x v="10"/>
    <n v="95"/>
    <n v="14"/>
    <n v="1330"/>
    <s v="Cash"/>
    <n v="4.0999999999999996"/>
  </r>
  <r>
    <x v="12"/>
    <s v="2026-01-13"/>
    <x v="1"/>
    <x v="1"/>
    <x v="3"/>
    <x v="11"/>
    <n v="120"/>
    <n v="22"/>
    <n v="2640"/>
    <s v="Cash"/>
    <n v="4.0999999999999996"/>
  </r>
  <r>
    <x v="13"/>
    <s v="2026-01-14"/>
    <x v="2"/>
    <x v="2"/>
    <x v="3"/>
    <x v="12"/>
    <n v="250"/>
    <n v="10"/>
    <n v="2500"/>
    <s v="Card"/>
    <n v="4.5999999999999996"/>
  </r>
  <r>
    <x v="14"/>
    <s v="2026-01-15"/>
    <x v="3"/>
    <x v="3"/>
    <x v="2"/>
    <x v="13"/>
    <n v="50"/>
    <n v="18"/>
    <n v="900"/>
    <s v="Cash"/>
    <n v="4.0999999999999996"/>
  </r>
  <r>
    <x v="15"/>
    <s v="2026-01-16"/>
    <x v="0"/>
    <x v="0"/>
    <x v="0"/>
    <x v="3"/>
    <n v="55"/>
    <n v="23"/>
    <n v="1265"/>
    <s v="Cash"/>
    <n v="4.5999999999999996"/>
  </r>
  <r>
    <x v="16"/>
    <s v="2026-01-17"/>
    <x v="3"/>
    <x v="3"/>
    <x v="4"/>
    <x v="14"/>
    <n v="150"/>
    <n v="18"/>
    <n v="2700"/>
    <s v="Cash"/>
    <n v="5"/>
  </r>
  <r>
    <x v="17"/>
    <s v="2026-01-18"/>
    <x v="0"/>
    <x v="0"/>
    <x v="0"/>
    <x v="15"/>
    <n v="80"/>
    <n v="22"/>
    <n v="1760"/>
    <s v="Cash"/>
    <n v="4.0999999999999996"/>
  </r>
  <r>
    <x v="18"/>
    <s v="2026-01-19"/>
    <x v="3"/>
    <x v="3"/>
    <x v="3"/>
    <x v="11"/>
    <n v="30"/>
    <n v="25"/>
    <n v="750"/>
    <s v="Card"/>
    <n v="4.3"/>
  </r>
  <r>
    <x v="19"/>
    <s v="2026-01-20"/>
    <x v="2"/>
    <x v="2"/>
    <x v="1"/>
    <x v="16"/>
    <n v="90"/>
    <n v="22"/>
    <n v="1980"/>
    <s v="Card"/>
    <n v="4.5999999999999996"/>
  </r>
  <r>
    <x v="20"/>
    <s v="2026-01-21"/>
    <x v="2"/>
    <x v="2"/>
    <x v="2"/>
    <x v="13"/>
    <n v="250"/>
    <n v="18"/>
    <n v="4500"/>
    <s v="UPI"/>
    <n v="4.5999999999999996"/>
  </r>
  <r>
    <x v="21"/>
    <s v="2026-01-22"/>
    <x v="3"/>
    <x v="3"/>
    <x v="0"/>
    <x v="4"/>
    <n v="110"/>
    <n v="11"/>
    <n v="1210"/>
    <s v="UPI"/>
    <n v="4.0999999999999996"/>
  </r>
  <r>
    <x v="22"/>
    <s v="2026-01-23"/>
    <x v="0"/>
    <x v="0"/>
    <x v="0"/>
    <x v="5"/>
    <n v="40"/>
    <n v="19"/>
    <n v="760"/>
    <s v="UPI"/>
    <n v="4.0999999999999996"/>
  </r>
  <r>
    <x v="23"/>
    <s v="2026-01-24"/>
    <x v="3"/>
    <x v="3"/>
    <x v="1"/>
    <x v="2"/>
    <n v="80"/>
    <n v="18"/>
    <n v="1440"/>
    <s v="Card"/>
    <n v="4.4000000000000004"/>
  </r>
  <r>
    <x v="24"/>
    <s v="2026-01-25"/>
    <x v="2"/>
    <x v="2"/>
    <x v="1"/>
    <x v="2"/>
    <n v="90"/>
    <n v="14"/>
    <n v="1260"/>
    <s v="Card"/>
    <n v="4.5999999999999996"/>
  </r>
  <r>
    <x v="25"/>
    <s v="2026-01-26"/>
    <x v="3"/>
    <x v="3"/>
    <x v="1"/>
    <x v="1"/>
    <n v="48"/>
    <n v="9"/>
    <n v="432"/>
    <s v="UPI"/>
    <n v="4.0999999999999996"/>
  </r>
  <r>
    <x v="26"/>
    <s v="2026-01-27"/>
    <x v="0"/>
    <x v="0"/>
    <x v="1"/>
    <x v="17"/>
    <n v="70"/>
    <n v="20"/>
    <n v="1400"/>
    <s v="UPI"/>
    <n v="4"/>
  </r>
  <r>
    <x v="27"/>
    <s v="2026-01-28"/>
    <x v="0"/>
    <x v="0"/>
    <x v="3"/>
    <x v="10"/>
    <n v="35"/>
    <n v="12"/>
    <n v="420"/>
    <s v="UPI"/>
    <n v="4.5"/>
  </r>
  <r>
    <x v="28"/>
    <s v="2026-01-29"/>
    <x v="1"/>
    <x v="1"/>
    <x v="4"/>
    <x v="18"/>
    <n v="250"/>
    <n v="6"/>
    <n v="1500"/>
    <s v="Card"/>
    <n v="4.9000000000000004"/>
  </r>
  <r>
    <x v="29"/>
    <s v="2026-01-30"/>
    <x v="3"/>
    <x v="3"/>
    <x v="3"/>
    <x v="11"/>
    <n v="140"/>
    <n v="8"/>
    <n v="1120"/>
    <s v="UPI"/>
    <n v="4.0999999999999996"/>
  </r>
  <r>
    <x v="30"/>
    <s v="2026-01-31"/>
    <x v="3"/>
    <x v="3"/>
    <x v="2"/>
    <x v="19"/>
    <n v="140"/>
    <n v="16"/>
    <n v="2240"/>
    <s v="Card"/>
    <n v="4.0999999999999996"/>
  </r>
  <r>
    <x v="31"/>
    <s v="2026-02-01"/>
    <x v="0"/>
    <x v="0"/>
    <x v="0"/>
    <x v="5"/>
    <n v="95"/>
    <n v="5"/>
    <n v="475"/>
    <s v="UPI"/>
    <n v="4.2"/>
  </r>
  <r>
    <x v="32"/>
    <s v="2026-02-02"/>
    <x v="3"/>
    <x v="3"/>
    <x v="3"/>
    <x v="11"/>
    <n v="55"/>
    <n v="10"/>
    <n v="550"/>
    <s v="Cash"/>
    <n v="4.2"/>
  </r>
  <r>
    <x v="33"/>
    <s v="2026-02-03"/>
    <x v="0"/>
    <x v="0"/>
    <x v="4"/>
    <x v="14"/>
    <n v="48"/>
    <n v="3"/>
    <n v="144"/>
    <s v="Card"/>
    <n v="5"/>
  </r>
  <r>
    <x v="34"/>
    <s v="2026-02-04"/>
    <x v="0"/>
    <x v="0"/>
    <x v="0"/>
    <x v="3"/>
    <n v="55"/>
    <n v="15"/>
    <n v="825"/>
    <s v="Cash"/>
    <n v="4.5"/>
  </r>
  <r>
    <x v="35"/>
    <s v="2026-02-05"/>
    <x v="3"/>
    <x v="3"/>
    <x v="0"/>
    <x v="3"/>
    <n v="120"/>
    <n v="2"/>
    <n v="240"/>
    <s v="Cash"/>
    <n v="4.3"/>
  </r>
  <r>
    <x v="36"/>
    <s v="2026-02-06"/>
    <x v="3"/>
    <x v="3"/>
    <x v="2"/>
    <x v="19"/>
    <n v="250"/>
    <n v="23"/>
    <n v="5750"/>
    <s v="Card"/>
    <n v="4.5"/>
  </r>
  <r>
    <x v="37"/>
    <s v="2026-02-07"/>
    <x v="2"/>
    <x v="2"/>
    <x v="2"/>
    <x v="13"/>
    <n v="35"/>
    <n v="20"/>
    <n v="700"/>
    <s v="Card"/>
    <n v="4.5"/>
  </r>
  <r>
    <x v="38"/>
    <s v="2026-02-08"/>
    <x v="1"/>
    <x v="1"/>
    <x v="0"/>
    <x v="4"/>
    <n v="260"/>
    <n v="17"/>
    <n v="4420"/>
    <s v="Card"/>
    <n v="4.9000000000000004"/>
  </r>
  <r>
    <x v="39"/>
    <s v="2026-02-09"/>
    <x v="2"/>
    <x v="2"/>
    <x v="0"/>
    <x v="15"/>
    <n v="40"/>
    <n v="7"/>
    <n v="280"/>
    <s v="UPI"/>
    <n v="4.5999999999999996"/>
  </r>
  <r>
    <x v="40"/>
    <s v="2026-02-10"/>
    <x v="2"/>
    <x v="2"/>
    <x v="4"/>
    <x v="20"/>
    <n v="260"/>
    <n v="9"/>
    <n v="2340"/>
    <s v="Card"/>
    <n v="4.5999999999999996"/>
  </r>
  <r>
    <x v="41"/>
    <s v="2026-02-11"/>
    <x v="0"/>
    <x v="0"/>
    <x v="4"/>
    <x v="14"/>
    <n v="260"/>
    <n v="18"/>
    <n v="4680"/>
    <s v="Cash"/>
    <n v="4.9000000000000004"/>
  </r>
  <r>
    <x v="42"/>
    <s v="2026-02-12"/>
    <x v="2"/>
    <x v="2"/>
    <x v="2"/>
    <x v="13"/>
    <n v="80"/>
    <n v="14"/>
    <n v="1120"/>
    <s v="UPI"/>
    <n v="4.7"/>
  </r>
  <r>
    <x v="43"/>
    <s v="2026-02-13"/>
    <x v="1"/>
    <x v="1"/>
    <x v="4"/>
    <x v="21"/>
    <n v="40"/>
    <n v="2"/>
    <n v="80"/>
    <s v="Cash"/>
    <n v="4.5999999999999996"/>
  </r>
  <r>
    <x v="44"/>
    <s v="2026-02-14"/>
    <x v="0"/>
    <x v="0"/>
    <x v="0"/>
    <x v="15"/>
    <n v="60"/>
    <n v="18"/>
    <n v="1080"/>
    <s v="Cash"/>
    <n v="4.0999999999999996"/>
  </r>
  <r>
    <x v="45"/>
    <s v="2026-02-15"/>
    <x v="1"/>
    <x v="1"/>
    <x v="0"/>
    <x v="3"/>
    <n v="110"/>
    <n v="11"/>
    <n v="1210"/>
    <s v="UPI"/>
    <n v="4.4000000000000004"/>
  </r>
  <r>
    <x v="46"/>
    <s v="2026-02-16"/>
    <x v="1"/>
    <x v="1"/>
    <x v="1"/>
    <x v="17"/>
    <n v="30"/>
    <n v="23"/>
    <n v="690"/>
    <s v="Card"/>
    <n v="4.3"/>
  </r>
  <r>
    <x v="47"/>
    <s v="2026-02-17"/>
    <x v="0"/>
    <x v="0"/>
    <x v="3"/>
    <x v="8"/>
    <n v="48"/>
    <n v="5"/>
    <n v="240"/>
    <s v="Card"/>
    <n v="4.5999999999999996"/>
  </r>
  <r>
    <x v="48"/>
    <s v="2026-02-18"/>
    <x v="1"/>
    <x v="1"/>
    <x v="2"/>
    <x v="9"/>
    <n v="60"/>
    <n v="24"/>
    <n v="1440"/>
    <s v="Cash"/>
    <n v="4.2"/>
  </r>
  <r>
    <x v="49"/>
    <s v="2026-02-19"/>
    <x v="1"/>
    <x v="1"/>
    <x v="1"/>
    <x v="1"/>
    <n v="80"/>
    <n v="3"/>
    <n v="240"/>
    <s v="UPI"/>
    <n v="4.5999999999999996"/>
  </r>
  <r>
    <x v="50"/>
    <s v="2026-02-20"/>
    <x v="1"/>
    <x v="1"/>
    <x v="0"/>
    <x v="4"/>
    <n v="95"/>
    <n v="6"/>
    <n v="570"/>
    <s v="Card"/>
    <n v="5"/>
  </r>
  <r>
    <x v="51"/>
    <s v="2026-02-21"/>
    <x v="2"/>
    <x v="2"/>
    <x v="4"/>
    <x v="14"/>
    <n v="140"/>
    <n v="19"/>
    <n v="2660"/>
    <s v="UPI"/>
    <n v="4.0999999999999996"/>
  </r>
  <r>
    <x v="52"/>
    <s v="2026-02-22"/>
    <x v="2"/>
    <x v="2"/>
    <x v="1"/>
    <x v="16"/>
    <n v="110"/>
    <n v="20"/>
    <n v="2200"/>
    <s v="Card"/>
    <n v="4.0999999999999996"/>
  </r>
  <r>
    <x v="53"/>
    <s v="2026-02-23"/>
    <x v="2"/>
    <x v="2"/>
    <x v="0"/>
    <x v="0"/>
    <n v="110"/>
    <n v="3"/>
    <n v="330"/>
    <s v="Cash"/>
    <n v="4.2"/>
  </r>
  <r>
    <x v="54"/>
    <s v="2026-02-24"/>
    <x v="2"/>
    <x v="2"/>
    <x v="0"/>
    <x v="0"/>
    <n v="250"/>
    <n v="15"/>
    <n v="3750"/>
    <s v="Card"/>
    <n v="4.7"/>
  </r>
  <r>
    <x v="55"/>
    <s v="2026-02-25"/>
    <x v="2"/>
    <x v="2"/>
    <x v="3"/>
    <x v="22"/>
    <n v="140"/>
    <n v="2"/>
    <n v="280"/>
    <s v="UPI"/>
    <n v="4.7"/>
  </r>
  <r>
    <x v="56"/>
    <s v="2026-02-26"/>
    <x v="1"/>
    <x v="1"/>
    <x v="4"/>
    <x v="18"/>
    <n v="80"/>
    <n v="7"/>
    <n v="560"/>
    <s v="Card"/>
    <n v="4.0999999999999996"/>
  </r>
  <r>
    <x v="57"/>
    <s v="2026-02-27"/>
    <x v="0"/>
    <x v="0"/>
    <x v="4"/>
    <x v="18"/>
    <n v="60"/>
    <n v="16"/>
    <n v="960"/>
    <s v="Cash"/>
    <n v="4.3"/>
  </r>
  <r>
    <x v="58"/>
    <s v="2026-02-28"/>
    <x v="2"/>
    <x v="2"/>
    <x v="3"/>
    <x v="10"/>
    <n v="60"/>
    <n v="14"/>
    <n v="840"/>
    <s v="Cash"/>
    <n v="4.3"/>
  </r>
  <r>
    <x v="59"/>
    <s v="2026-03-01"/>
    <x v="0"/>
    <x v="0"/>
    <x v="2"/>
    <x v="23"/>
    <n v="220"/>
    <n v="14"/>
    <n v="3080"/>
    <s v="Card"/>
    <n v="5"/>
  </r>
  <r>
    <x v="60"/>
    <s v="2026-03-02"/>
    <x v="1"/>
    <x v="1"/>
    <x v="0"/>
    <x v="4"/>
    <n v="80"/>
    <n v="7"/>
    <n v="560"/>
    <s v="Card"/>
    <n v="5"/>
  </r>
  <r>
    <x v="61"/>
    <s v="2026-03-03"/>
    <x v="1"/>
    <x v="1"/>
    <x v="0"/>
    <x v="4"/>
    <n v="140"/>
    <n v="13"/>
    <n v="1820"/>
    <s v="Card"/>
    <n v="4.8"/>
  </r>
  <r>
    <x v="62"/>
    <s v="2026-03-04"/>
    <x v="3"/>
    <x v="3"/>
    <x v="1"/>
    <x v="17"/>
    <n v="48"/>
    <n v="14"/>
    <n v="672"/>
    <s v="Card"/>
    <n v="4.2"/>
  </r>
  <r>
    <x v="63"/>
    <s v="2026-03-05"/>
    <x v="0"/>
    <x v="0"/>
    <x v="4"/>
    <x v="20"/>
    <n v="220"/>
    <n v="19"/>
    <n v="4180"/>
    <s v="Card"/>
    <n v="4.7"/>
  </r>
  <r>
    <x v="64"/>
    <s v="2026-03-06"/>
    <x v="2"/>
    <x v="2"/>
    <x v="2"/>
    <x v="19"/>
    <n v="40"/>
    <n v="23"/>
    <n v="920"/>
    <s v="Cash"/>
    <n v="4.5999999999999996"/>
  </r>
  <r>
    <x v="65"/>
    <s v="2026-03-07"/>
    <x v="0"/>
    <x v="0"/>
    <x v="2"/>
    <x v="9"/>
    <n v="90"/>
    <n v="23"/>
    <n v="2070"/>
    <s v="Cash"/>
    <n v="4.3"/>
  </r>
  <r>
    <x v="66"/>
    <s v="2026-03-08"/>
    <x v="1"/>
    <x v="1"/>
    <x v="1"/>
    <x v="2"/>
    <n v="60"/>
    <n v="15"/>
    <n v="900"/>
    <s v="Card"/>
    <n v="4.9000000000000004"/>
  </r>
  <r>
    <x v="67"/>
    <s v="2026-03-09"/>
    <x v="2"/>
    <x v="2"/>
    <x v="1"/>
    <x v="17"/>
    <n v="90"/>
    <n v="14"/>
    <n v="1260"/>
    <s v="Card"/>
    <n v="4.8"/>
  </r>
  <r>
    <x v="68"/>
    <s v="2026-03-10"/>
    <x v="1"/>
    <x v="1"/>
    <x v="2"/>
    <x v="13"/>
    <n v="140"/>
    <n v="20"/>
    <n v="2800"/>
    <s v="Card"/>
    <n v="4.7"/>
  </r>
  <r>
    <x v="69"/>
    <s v="2026-03-11"/>
    <x v="3"/>
    <x v="3"/>
    <x v="4"/>
    <x v="24"/>
    <n v="60"/>
    <n v="18"/>
    <n v="1080"/>
    <s v="Cash"/>
    <n v="4.8"/>
  </r>
  <r>
    <x v="70"/>
    <s v="2026-03-12"/>
    <x v="2"/>
    <x v="2"/>
    <x v="0"/>
    <x v="0"/>
    <n v="220"/>
    <n v="23"/>
    <n v="5060"/>
    <s v="Card"/>
    <n v="4.5999999999999996"/>
  </r>
  <r>
    <x v="71"/>
    <s v="2026-03-13"/>
    <x v="0"/>
    <x v="0"/>
    <x v="3"/>
    <x v="8"/>
    <n v="70"/>
    <n v="8"/>
    <n v="560"/>
    <s v="UPI"/>
    <n v="4"/>
  </r>
  <r>
    <x v="72"/>
    <s v="2026-03-14"/>
    <x v="2"/>
    <x v="2"/>
    <x v="4"/>
    <x v="14"/>
    <n v="40"/>
    <n v="16"/>
    <n v="640"/>
    <s v="Cash"/>
    <n v="4.9000000000000004"/>
  </r>
  <r>
    <x v="73"/>
    <s v="2026-03-15"/>
    <x v="2"/>
    <x v="2"/>
    <x v="4"/>
    <x v="24"/>
    <n v="120"/>
    <n v="9"/>
    <n v="1080"/>
    <s v="UPI"/>
    <n v="4.7"/>
  </r>
  <r>
    <x v="74"/>
    <s v="2026-03-16"/>
    <x v="0"/>
    <x v="0"/>
    <x v="0"/>
    <x v="5"/>
    <n v="70"/>
    <n v="7"/>
    <n v="490"/>
    <s v="Card"/>
    <n v="4.5"/>
  </r>
  <r>
    <x v="75"/>
    <s v="2026-03-17"/>
    <x v="0"/>
    <x v="0"/>
    <x v="1"/>
    <x v="2"/>
    <n v="48"/>
    <n v="16"/>
    <n v="768"/>
    <s v="UPI"/>
    <n v="4.8"/>
  </r>
  <r>
    <x v="76"/>
    <s v="2026-03-18"/>
    <x v="1"/>
    <x v="1"/>
    <x v="4"/>
    <x v="14"/>
    <n v="220"/>
    <n v="15"/>
    <n v="3300"/>
    <s v="Card"/>
    <n v="4.4000000000000004"/>
  </r>
  <r>
    <x v="77"/>
    <s v="2026-03-19"/>
    <x v="2"/>
    <x v="2"/>
    <x v="4"/>
    <x v="24"/>
    <n v="80"/>
    <n v="9"/>
    <n v="720"/>
    <s v="Card"/>
    <n v="4.3"/>
  </r>
  <r>
    <x v="78"/>
    <s v="2026-03-20"/>
    <x v="3"/>
    <x v="3"/>
    <x v="3"/>
    <x v="8"/>
    <n v="150"/>
    <n v="4"/>
    <n v="600"/>
    <s v="Card"/>
    <n v="4.3"/>
  </r>
  <r>
    <x v="79"/>
    <s v="2026-03-21"/>
    <x v="1"/>
    <x v="1"/>
    <x v="2"/>
    <x v="23"/>
    <n v="250"/>
    <n v="4"/>
    <n v="1000"/>
    <s v="UPI"/>
    <n v="4.2"/>
  </r>
  <r>
    <x v="80"/>
    <s v="2026-03-22"/>
    <x v="3"/>
    <x v="3"/>
    <x v="3"/>
    <x v="22"/>
    <n v="40"/>
    <n v="15"/>
    <n v="600"/>
    <s v="Cash"/>
    <n v="4.3"/>
  </r>
  <r>
    <x v="81"/>
    <s v="2026-03-23"/>
    <x v="3"/>
    <x v="3"/>
    <x v="4"/>
    <x v="20"/>
    <n v="60"/>
    <n v="15"/>
    <n v="900"/>
    <s v="Cash"/>
    <n v="4.9000000000000004"/>
  </r>
  <r>
    <x v="82"/>
    <s v="2026-03-24"/>
    <x v="0"/>
    <x v="0"/>
    <x v="1"/>
    <x v="1"/>
    <n v="180"/>
    <n v="2"/>
    <n v="360"/>
    <s v="Cash"/>
    <n v="4.3"/>
  </r>
  <r>
    <x v="83"/>
    <s v="2026-03-25"/>
    <x v="3"/>
    <x v="3"/>
    <x v="4"/>
    <x v="14"/>
    <n v="250"/>
    <n v="21"/>
    <n v="5250"/>
    <s v="UPI"/>
    <n v="4.5"/>
  </r>
  <r>
    <x v="84"/>
    <s v="2026-03-26"/>
    <x v="1"/>
    <x v="1"/>
    <x v="4"/>
    <x v="24"/>
    <n v="30"/>
    <n v="14"/>
    <n v="420"/>
    <s v="Cash"/>
    <n v="4.7"/>
  </r>
  <r>
    <x v="85"/>
    <m/>
    <x v="4"/>
    <x v="4"/>
    <x v="5"/>
    <x v="2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B9A74-A4F7-4069-9CED-D453DCF53E9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C50FE-2C21-402A-945B-8E90AA4D4EE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3D74D-0538-4981-B3A1-19379CB8979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2" firstHeaderRow="0" firstDataRow="1" firstDataCol="1"/>
  <pivotFields count="11">
    <pivotField axis="axisRow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x="5"/>
        <item t="default"/>
      </items>
    </pivotField>
    <pivotField axis="axisRow" showAll="0">
      <items count="27">
        <item x="13"/>
        <item x="21"/>
        <item x="24"/>
        <item x="7"/>
        <item x="22"/>
        <item x="23"/>
        <item x="18"/>
        <item x="3"/>
        <item x="6"/>
        <item x="17"/>
        <item x="8"/>
        <item x="20"/>
        <item x="12"/>
        <item x="19"/>
        <item x="15"/>
        <item x="14"/>
        <item x="9"/>
        <item x="4"/>
        <item x="2"/>
        <item x="16"/>
        <item x="11"/>
        <item x="0"/>
        <item x="10"/>
        <item x="1"/>
        <item x="5"/>
        <item x="25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3">
    <field x="4"/>
    <field x="5"/>
    <field x="0"/>
  </rowFields>
  <rowItems count="119">
    <i>
      <x/>
    </i>
    <i r="1">
      <x v="4"/>
    </i>
    <i r="2">
      <x v="55"/>
    </i>
    <i r="2">
      <x v="80"/>
    </i>
    <i r="1">
      <x v="10"/>
    </i>
    <i r="2">
      <x v="8"/>
    </i>
    <i r="2">
      <x v="47"/>
    </i>
    <i r="2">
      <x v="71"/>
    </i>
    <i r="2">
      <x v="78"/>
    </i>
    <i r="1">
      <x v="12"/>
    </i>
    <i r="2">
      <x v="13"/>
    </i>
    <i r="1">
      <x v="20"/>
    </i>
    <i r="2">
      <x v="12"/>
    </i>
    <i r="2">
      <x v="18"/>
    </i>
    <i r="2">
      <x v="29"/>
    </i>
    <i r="2">
      <x v="32"/>
    </i>
    <i r="1">
      <x v="22"/>
    </i>
    <i r="2">
      <x v="11"/>
    </i>
    <i r="2">
      <x v="27"/>
    </i>
    <i r="2">
      <x v="58"/>
    </i>
    <i>
      <x v="1"/>
    </i>
    <i r="1">
      <x v="1"/>
    </i>
    <i r="2">
      <x v="43"/>
    </i>
    <i r="1">
      <x v="2"/>
    </i>
    <i r="2">
      <x v="69"/>
    </i>
    <i r="2">
      <x v="73"/>
    </i>
    <i r="2">
      <x v="77"/>
    </i>
    <i r="2">
      <x v="84"/>
    </i>
    <i r="1">
      <x v="6"/>
    </i>
    <i r="2">
      <x v="28"/>
    </i>
    <i r="2">
      <x v="56"/>
    </i>
    <i r="2">
      <x v="57"/>
    </i>
    <i r="1">
      <x v="11"/>
    </i>
    <i r="2">
      <x v="40"/>
    </i>
    <i r="2">
      <x v="63"/>
    </i>
    <i r="2">
      <x v="81"/>
    </i>
    <i r="1">
      <x v="15"/>
    </i>
    <i r="2">
      <x v="16"/>
    </i>
    <i r="2">
      <x v="33"/>
    </i>
    <i r="2">
      <x v="41"/>
    </i>
    <i r="2">
      <x v="51"/>
    </i>
    <i r="2">
      <x v="72"/>
    </i>
    <i r="2">
      <x v="76"/>
    </i>
    <i r="2">
      <x v="83"/>
    </i>
    <i>
      <x v="2"/>
    </i>
    <i r="1">
      <x v="7"/>
    </i>
    <i r="2">
      <x v="3"/>
    </i>
    <i r="2">
      <x v="15"/>
    </i>
    <i r="2">
      <x v="34"/>
    </i>
    <i r="2">
      <x v="35"/>
    </i>
    <i r="2">
      <x v="45"/>
    </i>
    <i r="1">
      <x v="14"/>
    </i>
    <i r="2">
      <x v="17"/>
    </i>
    <i r="2">
      <x v="39"/>
    </i>
    <i r="2">
      <x v="44"/>
    </i>
    <i r="1">
      <x v="17"/>
    </i>
    <i r="2">
      <x v="4"/>
    </i>
    <i r="2">
      <x v="21"/>
    </i>
    <i r="2">
      <x v="38"/>
    </i>
    <i r="2">
      <x v="50"/>
    </i>
    <i r="2">
      <x v="60"/>
    </i>
    <i r="2">
      <x v="61"/>
    </i>
    <i r="1">
      <x v="21"/>
    </i>
    <i r="2">
      <x/>
    </i>
    <i r="2">
      <x v="53"/>
    </i>
    <i r="2">
      <x v="54"/>
    </i>
    <i r="2">
      <x v="70"/>
    </i>
    <i r="1">
      <x v="24"/>
    </i>
    <i r="2">
      <x v="5"/>
    </i>
    <i r="2">
      <x v="22"/>
    </i>
    <i r="2">
      <x v="31"/>
    </i>
    <i r="2">
      <x v="74"/>
    </i>
    <i>
      <x v="3"/>
    </i>
    <i r="1">
      <x v="8"/>
    </i>
    <i r="2">
      <x v="6"/>
    </i>
    <i r="1">
      <x v="9"/>
    </i>
    <i r="2">
      <x v="26"/>
    </i>
    <i r="2">
      <x v="46"/>
    </i>
    <i r="2">
      <x v="62"/>
    </i>
    <i r="2">
      <x v="67"/>
    </i>
    <i r="1">
      <x v="18"/>
    </i>
    <i r="2">
      <x v="2"/>
    </i>
    <i r="2">
      <x v="9"/>
    </i>
    <i r="2">
      <x v="23"/>
    </i>
    <i r="2">
      <x v="24"/>
    </i>
    <i r="2">
      <x v="66"/>
    </i>
    <i r="2">
      <x v="75"/>
    </i>
    <i r="1">
      <x v="19"/>
    </i>
    <i r="2">
      <x v="19"/>
    </i>
    <i r="2">
      <x v="52"/>
    </i>
    <i r="1">
      <x v="23"/>
    </i>
    <i r="2">
      <x v="1"/>
    </i>
    <i r="2">
      <x v="25"/>
    </i>
    <i r="2">
      <x v="49"/>
    </i>
    <i r="2">
      <x v="82"/>
    </i>
    <i>
      <x v="4"/>
    </i>
    <i r="1">
      <x/>
    </i>
    <i r="2">
      <x v="14"/>
    </i>
    <i r="2">
      <x v="20"/>
    </i>
    <i r="2">
      <x v="37"/>
    </i>
    <i r="2">
      <x v="42"/>
    </i>
    <i r="2">
      <x v="68"/>
    </i>
    <i r="1">
      <x v="3"/>
    </i>
    <i r="2">
      <x v="7"/>
    </i>
    <i r="1">
      <x v="5"/>
    </i>
    <i r="2">
      <x v="59"/>
    </i>
    <i r="2">
      <x v="79"/>
    </i>
    <i r="1">
      <x v="13"/>
    </i>
    <i r="2">
      <x v="30"/>
    </i>
    <i r="2">
      <x v="36"/>
    </i>
    <i r="2">
      <x v="64"/>
    </i>
    <i r="1">
      <x v="16"/>
    </i>
    <i r="2">
      <x v="10"/>
    </i>
    <i r="2">
      <x v="48"/>
    </i>
    <i r="2">
      <x v="65"/>
    </i>
    <i>
      <x v="5"/>
    </i>
    <i r="1">
      <x v="25"/>
    </i>
    <i r="2">
      <x v="8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 Price" fld="6" baseField="0" baseItem="0"/>
    <dataField name="Sum of Quantity" fld="7" baseField="0" baseItem="0"/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7BB4-CEF2-44DD-8A95-233845A9E698}">
  <dimension ref="A3:B9"/>
  <sheetViews>
    <sheetView topLeftCell="A3" zoomScale="212" workbookViewId="0">
      <selection activeCell="G4" sqref="G4"/>
    </sheetView>
  </sheetViews>
  <sheetFormatPr defaultRowHeight="14.4" x14ac:dyDescent="0.3"/>
  <cols>
    <col min="1" max="1" width="13.33203125" bestFit="1" customWidth="1"/>
    <col min="2" max="2" width="16.44140625" bestFit="1" customWidth="1"/>
  </cols>
  <sheetData>
    <row r="3" spans="1:2" x14ac:dyDescent="0.3">
      <c r="A3" s="2" t="s">
        <v>222</v>
      </c>
      <c r="B3" t="s">
        <v>225</v>
      </c>
    </row>
    <row r="4" spans="1:2" x14ac:dyDescent="0.3">
      <c r="A4" s="3" t="s">
        <v>12</v>
      </c>
      <c r="B4">
        <v>37547</v>
      </c>
    </row>
    <row r="5" spans="1:2" x14ac:dyDescent="0.3">
      <c r="A5" s="3" t="s">
        <v>54</v>
      </c>
      <c r="B5">
        <v>28044</v>
      </c>
    </row>
    <row r="6" spans="1:2" x14ac:dyDescent="0.3">
      <c r="A6" s="3" t="s">
        <v>26</v>
      </c>
      <c r="B6">
        <v>30640</v>
      </c>
    </row>
    <row r="7" spans="1:2" x14ac:dyDescent="0.3">
      <c r="A7" s="3" t="s">
        <v>42</v>
      </c>
      <c r="B7">
        <v>34770</v>
      </c>
    </row>
    <row r="8" spans="1:2" x14ac:dyDescent="0.3">
      <c r="A8" s="3" t="s">
        <v>223</v>
      </c>
    </row>
    <row r="9" spans="1:2" x14ac:dyDescent="0.3">
      <c r="A9" s="3" t="s">
        <v>224</v>
      </c>
      <c r="B9">
        <v>131001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A244-623F-4F1B-A354-DECB23B3B7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F8AD-2376-445A-8E43-B6529A21FEB6}">
  <dimension ref="A3:B9"/>
  <sheetViews>
    <sheetView topLeftCell="A2" zoomScale="150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222</v>
      </c>
      <c r="B3" t="s">
        <v>225</v>
      </c>
    </row>
    <row r="4" spans="1:2" x14ac:dyDescent="0.3">
      <c r="A4" s="3" t="s">
        <v>13</v>
      </c>
      <c r="B4">
        <v>37547</v>
      </c>
    </row>
    <row r="5" spans="1:2" x14ac:dyDescent="0.3">
      <c r="A5" s="3" t="s">
        <v>43</v>
      </c>
      <c r="B5">
        <v>34770</v>
      </c>
    </row>
    <row r="6" spans="1:2" x14ac:dyDescent="0.3">
      <c r="A6" s="3" t="s">
        <v>27</v>
      </c>
      <c r="B6">
        <v>30640</v>
      </c>
    </row>
    <row r="7" spans="1:2" x14ac:dyDescent="0.3">
      <c r="A7" s="3" t="s">
        <v>55</v>
      </c>
      <c r="B7">
        <v>28044</v>
      </c>
    </row>
    <row r="8" spans="1:2" x14ac:dyDescent="0.3">
      <c r="A8" s="3" t="s">
        <v>223</v>
      </c>
    </row>
    <row r="9" spans="1:2" x14ac:dyDescent="0.3">
      <c r="A9" s="3" t="s">
        <v>224</v>
      </c>
      <c r="B9">
        <v>131001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5093-2CAC-4793-B65D-F45432F1C615}">
  <dimension ref="A3:D122"/>
  <sheetViews>
    <sheetView zoomScale="109" workbookViewId="0">
      <selection activeCell="A3" sqref="A3"/>
    </sheetView>
  </sheetViews>
  <sheetFormatPr defaultRowHeight="14.4" x14ac:dyDescent="0.3"/>
  <cols>
    <col min="1" max="1" width="19" bestFit="1" customWidth="1"/>
    <col min="2" max="2" width="22.109375" bestFit="1" customWidth="1"/>
    <col min="3" max="3" width="20.44140625" bestFit="1" customWidth="1"/>
    <col min="4" max="4" width="23.6640625" bestFit="1" customWidth="1"/>
    <col min="5" max="5" width="8.21875" bestFit="1" customWidth="1"/>
    <col min="6" max="6" width="9" bestFit="1" customWidth="1"/>
    <col min="7" max="7" width="10.44140625" bestFit="1" customWidth="1"/>
    <col min="8" max="8" width="7.109375" bestFit="1" customWidth="1"/>
    <col min="9" max="9" width="6.77734375" bestFit="1" customWidth="1"/>
    <col min="10" max="10" width="14.21875" bestFit="1" customWidth="1"/>
    <col min="11" max="11" width="14.88671875" bestFit="1" customWidth="1"/>
    <col min="12" max="12" width="7.6640625" bestFit="1" customWidth="1"/>
    <col min="13" max="13" width="6.77734375" bestFit="1" customWidth="1"/>
    <col min="14" max="14" width="13.109375" bestFit="1" customWidth="1"/>
    <col min="15" max="15" width="12" bestFit="1" customWidth="1"/>
    <col min="16" max="16" width="6.77734375" bestFit="1" customWidth="1"/>
    <col min="17" max="17" width="9.5546875" bestFit="1" customWidth="1"/>
    <col min="18" max="18" width="11" bestFit="1" customWidth="1"/>
    <col min="19" max="19" width="6.77734375" bestFit="1" customWidth="1"/>
    <col min="20" max="20" width="12.109375" bestFit="1" customWidth="1"/>
    <col min="21" max="21" width="7.33203125" bestFit="1" customWidth="1"/>
    <col min="22" max="22" width="13.109375" bestFit="1" customWidth="1"/>
    <col min="23" max="23" width="8.44140625" bestFit="1" customWidth="1"/>
    <col min="24" max="24" width="15.109375" bestFit="1" customWidth="1"/>
    <col min="25" max="25" width="14.21875" bestFit="1" customWidth="1"/>
    <col min="26" max="26" width="15.6640625" bestFit="1" customWidth="1"/>
    <col min="27" max="27" width="9.77734375" bestFit="1" customWidth="1"/>
    <col min="28" max="28" width="15.33203125" bestFit="1" customWidth="1"/>
    <col min="29" max="31" width="10.44140625" bestFit="1" customWidth="1"/>
    <col min="32" max="32" width="11.77734375" bestFit="1" customWidth="1"/>
    <col min="33" max="33" width="15.5546875" bestFit="1" customWidth="1"/>
    <col min="34" max="34" width="21" bestFit="1" customWidth="1"/>
    <col min="35" max="35" width="16.21875" bestFit="1" customWidth="1"/>
    <col min="36" max="38" width="10.44140625" bestFit="1" customWidth="1"/>
    <col min="39" max="39" width="21.5546875" bestFit="1" customWidth="1"/>
    <col min="40" max="43" width="10.44140625" bestFit="1" customWidth="1"/>
    <col min="44" max="44" width="14.21875" bestFit="1" customWidth="1"/>
    <col min="45" max="45" width="10.109375" bestFit="1" customWidth="1"/>
    <col min="46" max="47" width="10.44140625" bestFit="1" customWidth="1"/>
    <col min="48" max="48" width="12.88671875" bestFit="1" customWidth="1"/>
    <col min="49" max="49" width="14.44140625" bestFit="1" customWidth="1"/>
    <col min="50" max="50" width="19.88671875" bestFit="1" customWidth="1"/>
    <col min="51" max="51" width="13.33203125" bestFit="1" customWidth="1"/>
    <col min="52" max="53" width="10.44140625" bestFit="1" customWidth="1"/>
    <col min="54" max="54" width="18.6640625" bestFit="1" customWidth="1"/>
    <col min="55" max="55" width="10.109375" bestFit="1" customWidth="1"/>
    <col min="56" max="57" width="10.44140625" bestFit="1" customWidth="1"/>
    <col min="58" max="58" width="11.44140625" bestFit="1" customWidth="1"/>
    <col min="59" max="59" width="10.88671875" bestFit="1" customWidth="1"/>
    <col min="60" max="65" width="10.44140625" bestFit="1" customWidth="1"/>
    <col min="66" max="66" width="16.21875" bestFit="1" customWidth="1"/>
    <col min="67" max="67" width="12.33203125" bestFit="1" customWidth="1"/>
    <col min="68" max="69" width="10.44140625" bestFit="1" customWidth="1"/>
    <col min="70" max="70" width="17.6640625" bestFit="1" customWidth="1"/>
    <col min="71" max="73" width="10.44140625" bestFit="1" customWidth="1"/>
    <col min="74" max="75" width="10.109375" bestFit="1" customWidth="1"/>
    <col min="76" max="76" width="10.44140625" bestFit="1" customWidth="1"/>
    <col min="77" max="77" width="13.109375" bestFit="1" customWidth="1"/>
    <col min="78" max="78" width="13.44140625" bestFit="1" customWidth="1"/>
    <col min="79" max="79" width="10.109375" bestFit="1" customWidth="1"/>
    <col min="80" max="83" width="10.44140625" bestFit="1" customWidth="1"/>
    <col min="84" max="84" width="18.77734375" bestFit="1" customWidth="1"/>
    <col min="85" max="86" width="10.44140625" bestFit="1" customWidth="1"/>
    <col min="87" max="87" width="13.77734375" bestFit="1" customWidth="1"/>
    <col min="88" max="88" width="14.44140625" bestFit="1" customWidth="1"/>
    <col min="89" max="89" width="10.109375" bestFit="1" customWidth="1"/>
    <col min="90" max="91" width="10.44140625" bestFit="1" customWidth="1"/>
    <col min="92" max="92" width="19.88671875" bestFit="1" customWidth="1"/>
    <col min="93" max="93" width="10.109375" bestFit="1" customWidth="1"/>
    <col min="94" max="95" width="10.44140625" bestFit="1" customWidth="1"/>
    <col min="96" max="96" width="10.109375" bestFit="1" customWidth="1"/>
    <col min="97" max="97" width="15.109375" bestFit="1" customWidth="1"/>
    <col min="98" max="98" width="16.44140625" bestFit="1" customWidth="1"/>
    <col min="99" max="100" width="10.44140625" bestFit="1" customWidth="1"/>
    <col min="101" max="101" width="21.77734375" bestFit="1" customWidth="1"/>
    <col min="102" max="102" width="15.5546875" bestFit="1" customWidth="1"/>
    <col min="103" max="105" width="10.44140625" bestFit="1" customWidth="1"/>
    <col min="106" max="106" width="21" bestFit="1" customWidth="1"/>
    <col min="107" max="107" width="17" bestFit="1" customWidth="1"/>
    <col min="108" max="110" width="10.44140625" bestFit="1" customWidth="1"/>
    <col min="111" max="111" width="22.33203125" bestFit="1" customWidth="1"/>
    <col min="112" max="112" width="11.109375" bestFit="1" customWidth="1"/>
    <col min="113" max="113" width="16.44140625" bestFit="1" customWidth="1"/>
    <col min="114" max="114" width="15.33203125" bestFit="1" customWidth="1"/>
    <col min="115" max="115" width="10.109375" bestFit="1" customWidth="1"/>
    <col min="116" max="118" width="10.44140625" bestFit="1" customWidth="1"/>
    <col min="119" max="119" width="17.5546875" bestFit="1" customWidth="1"/>
    <col min="120" max="120" width="10.44140625" bestFit="1" customWidth="1"/>
    <col min="121" max="121" width="15.109375" bestFit="1" customWidth="1"/>
    <col min="122" max="122" width="11.21875" bestFit="1" customWidth="1"/>
    <col min="123" max="125" width="10.44140625" bestFit="1" customWidth="1"/>
    <col min="126" max="126" width="16.5546875" bestFit="1" customWidth="1"/>
    <col min="127" max="127" width="10.44140625" bestFit="1" customWidth="1"/>
    <col min="128" max="128" width="14.88671875" bestFit="1" customWidth="1"/>
    <col min="129" max="129" width="10.44140625" bestFit="1" customWidth="1"/>
    <col min="130" max="130" width="10.109375" bestFit="1" customWidth="1"/>
    <col min="131" max="131" width="15.6640625" bestFit="1" customWidth="1"/>
    <col min="132" max="132" width="11.77734375" bestFit="1" customWidth="1"/>
    <col min="133" max="133" width="10.44140625" bestFit="1" customWidth="1"/>
    <col min="134" max="134" width="17.109375" bestFit="1" customWidth="1"/>
    <col min="135" max="137" width="10.44140625" bestFit="1" customWidth="1"/>
    <col min="138" max="138" width="13.6640625" bestFit="1" customWidth="1"/>
    <col min="139" max="139" width="10.44140625" bestFit="1" customWidth="1"/>
    <col min="140" max="140" width="10.109375" bestFit="1" customWidth="1"/>
    <col min="141" max="143" width="10.44140625" bestFit="1" customWidth="1"/>
    <col min="144" max="144" width="11.77734375" bestFit="1" customWidth="1"/>
    <col min="145" max="145" width="15.5546875" bestFit="1" customWidth="1"/>
    <col min="146" max="146" width="21" bestFit="1" customWidth="1"/>
    <col min="147" max="147" width="16.21875" bestFit="1" customWidth="1"/>
    <col min="148" max="150" width="10.44140625" bestFit="1" customWidth="1"/>
    <col min="151" max="151" width="21.5546875" bestFit="1" customWidth="1"/>
    <col min="152" max="155" width="10.44140625" bestFit="1" customWidth="1"/>
    <col min="156" max="156" width="14.21875" bestFit="1" customWidth="1"/>
    <col min="157" max="157" width="10.109375" bestFit="1" customWidth="1"/>
    <col min="158" max="159" width="10.44140625" bestFit="1" customWidth="1"/>
    <col min="160" max="160" width="12.88671875" bestFit="1" customWidth="1"/>
    <col min="161" max="161" width="14.44140625" bestFit="1" customWidth="1"/>
    <col min="162" max="162" width="19.88671875" bestFit="1" customWidth="1"/>
    <col min="163" max="163" width="13.33203125" bestFit="1" customWidth="1"/>
    <col min="164" max="165" width="10.44140625" bestFit="1" customWidth="1"/>
    <col min="166" max="166" width="18.6640625" bestFit="1" customWidth="1"/>
    <col min="167" max="167" width="10.109375" bestFit="1" customWidth="1"/>
    <col min="168" max="169" width="10.44140625" bestFit="1" customWidth="1"/>
    <col min="170" max="170" width="11.44140625" bestFit="1" customWidth="1"/>
    <col min="171" max="171" width="10.88671875" bestFit="1" customWidth="1"/>
    <col min="172" max="177" width="10.44140625" bestFit="1" customWidth="1"/>
    <col min="178" max="178" width="16.21875" bestFit="1" customWidth="1"/>
    <col min="179" max="179" width="12.33203125" bestFit="1" customWidth="1"/>
    <col min="180" max="181" width="10.44140625" bestFit="1" customWidth="1"/>
    <col min="182" max="182" width="17.6640625" bestFit="1" customWidth="1"/>
    <col min="183" max="185" width="10.44140625" bestFit="1" customWidth="1"/>
    <col min="186" max="187" width="10.109375" bestFit="1" customWidth="1"/>
    <col min="188" max="188" width="10.44140625" bestFit="1" customWidth="1"/>
    <col min="189" max="189" width="13.109375" bestFit="1" customWidth="1"/>
    <col min="190" max="190" width="13.44140625" bestFit="1" customWidth="1"/>
    <col min="191" max="191" width="10.109375" bestFit="1" customWidth="1"/>
    <col min="192" max="195" width="10.44140625" bestFit="1" customWidth="1"/>
    <col min="196" max="196" width="18.77734375" bestFit="1" customWidth="1"/>
    <col min="197" max="198" width="10.44140625" bestFit="1" customWidth="1"/>
    <col min="199" max="199" width="13.77734375" bestFit="1" customWidth="1"/>
    <col min="200" max="200" width="14.44140625" bestFit="1" customWidth="1"/>
    <col min="201" max="201" width="10.109375" bestFit="1" customWidth="1"/>
    <col min="202" max="203" width="10.44140625" bestFit="1" customWidth="1"/>
    <col min="204" max="204" width="19.88671875" bestFit="1" customWidth="1"/>
    <col min="205" max="205" width="10.109375" bestFit="1" customWidth="1"/>
    <col min="206" max="207" width="10.44140625" bestFit="1" customWidth="1"/>
    <col min="208" max="208" width="10.109375" bestFit="1" customWidth="1"/>
    <col min="209" max="209" width="15.109375" bestFit="1" customWidth="1"/>
    <col min="210" max="210" width="16.44140625" bestFit="1" customWidth="1"/>
    <col min="211" max="212" width="10.44140625" bestFit="1" customWidth="1"/>
    <col min="213" max="213" width="21.77734375" bestFit="1" customWidth="1"/>
    <col min="214" max="214" width="15.5546875" bestFit="1" customWidth="1"/>
    <col min="215" max="217" width="10.44140625" bestFit="1" customWidth="1"/>
    <col min="218" max="218" width="21" bestFit="1" customWidth="1"/>
    <col min="219" max="219" width="17" bestFit="1" customWidth="1"/>
    <col min="220" max="222" width="10.44140625" bestFit="1" customWidth="1"/>
    <col min="223" max="223" width="22.33203125" bestFit="1" customWidth="1"/>
    <col min="224" max="224" width="11.109375" bestFit="1" customWidth="1"/>
    <col min="225" max="225" width="16.44140625" bestFit="1" customWidth="1"/>
    <col min="226" max="226" width="23.6640625" bestFit="1" customWidth="1"/>
    <col min="227" max="227" width="10.109375" bestFit="1" customWidth="1"/>
    <col min="228" max="230" width="10.44140625" bestFit="1" customWidth="1"/>
    <col min="231" max="231" width="17.5546875" bestFit="1" customWidth="1"/>
    <col min="232" max="232" width="10.44140625" bestFit="1" customWidth="1"/>
    <col min="233" max="233" width="15.109375" bestFit="1" customWidth="1"/>
    <col min="234" max="234" width="11.21875" bestFit="1" customWidth="1"/>
    <col min="235" max="237" width="10.44140625" bestFit="1" customWidth="1"/>
    <col min="238" max="238" width="16.5546875" bestFit="1" customWidth="1"/>
    <col min="239" max="239" width="10.44140625" bestFit="1" customWidth="1"/>
    <col min="240" max="240" width="14.88671875" bestFit="1" customWidth="1"/>
    <col min="241" max="241" width="10.44140625" bestFit="1" customWidth="1"/>
    <col min="242" max="242" width="10.109375" bestFit="1" customWidth="1"/>
    <col min="243" max="243" width="15.6640625" bestFit="1" customWidth="1"/>
    <col min="244" max="244" width="11.77734375" bestFit="1" customWidth="1"/>
    <col min="245" max="245" width="10.44140625" bestFit="1" customWidth="1"/>
    <col min="246" max="246" width="17.109375" bestFit="1" customWidth="1"/>
    <col min="247" max="249" width="10.44140625" bestFit="1" customWidth="1"/>
    <col min="250" max="250" width="13.6640625" bestFit="1" customWidth="1"/>
    <col min="251" max="251" width="10.44140625" bestFit="1" customWidth="1"/>
    <col min="252" max="252" width="10.109375" bestFit="1" customWidth="1"/>
    <col min="253" max="255" width="10.44140625" bestFit="1" customWidth="1"/>
    <col min="256" max="256" width="11.77734375" bestFit="1" customWidth="1"/>
    <col min="257" max="257" width="15.5546875" bestFit="1" customWidth="1"/>
    <col min="258" max="258" width="21" bestFit="1" customWidth="1"/>
    <col min="259" max="259" width="16.21875" bestFit="1" customWidth="1"/>
    <col min="260" max="262" width="10.44140625" bestFit="1" customWidth="1"/>
    <col min="263" max="263" width="21.5546875" bestFit="1" customWidth="1"/>
    <col min="264" max="267" width="10.44140625" bestFit="1" customWidth="1"/>
    <col min="268" max="268" width="14.21875" bestFit="1" customWidth="1"/>
    <col min="269" max="269" width="10.109375" bestFit="1" customWidth="1"/>
    <col min="270" max="271" width="10.44140625" bestFit="1" customWidth="1"/>
    <col min="272" max="272" width="12.88671875" bestFit="1" customWidth="1"/>
    <col min="273" max="273" width="14.44140625" bestFit="1" customWidth="1"/>
    <col min="274" max="274" width="19.88671875" bestFit="1" customWidth="1"/>
    <col min="275" max="275" width="13.33203125" bestFit="1" customWidth="1"/>
    <col min="276" max="277" width="10.44140625" bestFit="1" customWidth="1"/>
    <col min="278" max="278" width="18.6640625" bestFit="1" customWidth="1"/>
    <col min="279" max="279" width="10.109375" bestFit="1" customWidth="1"/>
    <col min="280" max="281" width="10.44140625" bestFit="1" customWidth="1"/>
    <col min="282" max="282" width="11.44140625" bestFit="1" customWidth="1"/>
    <col min="283" max="283" width="10.88671875" bestFit="1" customWidth="1"/>
    <col min="284" max="289" width="10.44140625" bestFit="1" customWidth="1"/>
    <col min="290" max="290" width="16.21875" bestFit="1" customWidth="1"/>
    <col min="291" max="291" width="12.33203125" bestFit="1" customWidth="1"/>
    <col min="292" max="293" width="10.44140625" bestFit="1" customWidth="1"/>
    <col min="294" max="294" width="17.6640625" bestFit="1" customWidth="1"/>
    <col min="295" max="297" width="10.44140625" bestFit="1" customWidth="1"/>
    <col min="298" max="299" width="10.109375" bestFit="1" customWidth="1"/>
    <col min="300" max="300" width="10.44140625" bestFit="1" customWidth="1"/>
    <col min="301" max="301" width="13.109375" bestFit="1" customWidth="1"/>
    <col min="302" max="302" width="13.44140625" bestFit="1" customWidth="1"/>
    <col min="303" max="303" width="10.109375" bestFit="1" customWidth="1"/>
    <col min="304" max="307" width="10.44140625" bestFit="1" customWidth="1"/>
    <col min="308" max="308" width="18.77734375" bestFit="1" customWidth="1"/>
    <col min="309" max="310" width="10.44140625" bestFit="1" customWidth="1"/>
    <col min="311" max="311" width="13.77734375" bestFit="1" customWidth="1"/>
    <col min="312" max="312" width="14.44140625" bestFit="1" customWidth="1"/>
    <col min="313" max="313" width="10.109375" bestFit="1" customWidth="1"/>
    <col min="314" max="315" width="10.44140625" bestFit="1" customWidth="1"/>
    <col min="316" max="316" width="19.88671875" bestFit="1" customWidth="1"/>
    <col min="317" max="317" width="10.109375" bestFit="1" customWidth="1"/>
    <col min="318" max="319" width="10.44140625" bestFit="1" customWidth="1"/>
    <col min="320" max="320" width="10.109375" bestFit="1" customWidth="1"/>
    <col min="321" max="321" width="15.109375" bestFit="1" customWidth="1"/>
    <col min="322" max="322" width="16.44140625" bestFit="1" customWidth="1"/>
    <col min="323" max="324" width="10.44140625" bestFit="1" customWidth="1"/>
    <col min="325" max="325" width="21.77734375" bestFit="1" customWidth="1"/>
    <col min="326" max="326" width="15.5546875" bestFit="1" customWidth="1"/>
    <col min="327" max="329" width="10.44140625" bestFit="1" customWidth="1"/>
    <col min="330" max="330" width="21" bestFit="1" customWidth="1"/>
    <col min="331" max="331" width="17" bestFit="1" customWidth="1"/>
    <col min="332" max="334" width="10.44140625" bestFit="1" customWidth="1"/>
    <col min="335" max="335" width="22.33203125" bestFit="1" customWidth="1"/>
    <col min="336" max="336" width="11.109375" bestFit="1" customWidth="1"/>
    <col min="337" max="337" width="16.44140625" bestFit="1" customWidth="1"/>
    <col min="338" max="338" width="29" bestFit="1" customWidth="1"/>
    <col min="339" max="339" width="27.109375" bestFit="1" customWidth="1"/>
    <col min="340" max="340" width="30.44140625" bestFit="1" customWidth="1"/>
  </cols>
  <sheetData>
    <row r="3" spans="1:4" x14ac:dyDescent="0.3">
      <c r="A3" s="2" t="s">
        <v>222</v>
      </c>
      <c r="B3" t="s">
        <v>226</v>
      </c>
      <c r="C3" t="s">
        <v>227</v>
      </c>
      <c r="D3" t="s">
        <v>225</v>
      </c>
    </row>
    <row r="4" spans="1:4" x14ac:dyDescent="0.3">
      <c r="A4" s="3" t="s">
        <v>48</v>
      </c>
      <c r="B4">
        <v>1343</v>
      </c>
      <c r="C4">
        <v>157</v>
      </c>
      <c r="D4">
        <v>13310</v>
      </c>
    </row>
    <row r="5" spans="1:4" x14ac:dyDescent="0.3">
      <c r="A5" s="4" t="s">
        <v>160</v>
      </c>
      <c r="B5">
        <v>180</v>
      </c>
      <c r="C5">
        <v>17</v>
      </c>
      <c r="D5">
        <v>880</v>
      </c>
    </row>
    <row r="6" spans="1:4" x14ac:dyDescent="0.3">
      <c r="A6" s="5" t="s">
        <v>158</v>
      </c>
      <c r="B6">
        <v>140</v>
      </c>
      <c r="C6">
        <v>2</v>
      </c>
      <c r="D6">
        <v>280</v>
      </c>
    </row>
    <row r="7" spans="1:4" x14ac:dyDescent="0.3">
      <c r="A7" s="5" t="s">
        <v>211</v>
      </c>
      <c r="B7">
        <v>40</v>
      </c>
      <c r="C7">
        <v>15</v>
      </c>
      <c r="D7">
        <v>600</v>
      </c>
    </row>
    <row r="8" spans="1:4" x14ac:dyDescent="0.3">
      <c r="A8" s="4" t="s">
        <v>49</v>
      </c>
      <c r="B8">
        <v>378</v>
      </c>
      <c r="C8">
        <v>25</v>
      </c>
      <c r="D8">
        <v>2280</v>
      </c>
    </row>
    <row r="9" spans="1:4" x14ac:dyDescent="0.3">
      <c r="A9" s="5" t="s">
        <v>46</v>
      </c>
      <c r="B9">
        <v>110</v>
      </c>
      <c r="C9">
        <v>8</v>
      </c>
      <c r="D9">
        <v>880</v>
      </c>
    </row>
    <row r="10" spans="1:4" x14ac:dyDescent="0.3">
      <c r="A10" s="5" t="s">
        <v>142</v>
      </c>
      <c r="B10">
        <v>48</v>
      </c>
      <c r="C10">
        <v>5</v>
      </c>
      <c r="D10">
        <v>240</v>
      </c>
    </row>
    <row r="11" spans="1:4" x14ac:dyDescent="0.3">
      <c r="A11" s="5" t="s">
        <v>193</v>
      </c>
      <c r="B11">
        <v>70</v>
      </c>
      <c r="C11">
        <v>8</v>
      </c>
      <c r="D11">
        <v>560</v>
      </c>
    </row>
    <row r="12" spans="1:4" x14ac:dyDescent="0.3">
      <c r="A12" s="5" t="s">
        <v>207</v>
      </c>
      <c r="B12">
        <v>150</v>
      </c>
      <c r="C12">
        <v>4</v>
      </c>
      <c r="D12">
        <v>600</v>
      </c>
    </row>
    <row r="13" spans="1:4" x14ac:dyDescent="0.3">
      <c r="A13" s="4" t="s">
        <v>65</v>
      </c>
      <c r="B13">
        <v>250</v>
      </c>
      <c r="C13">
        <v>10</v>
      </c>
      <c r="D13">
        <v>2500</v>
      </c>
    </row>
    <row r="14" spans="1:4" x14ac:dyDescent="0.3">
      <c r="A14" s="5" t="s">
        <v>63</v>
      </c>
      <c r="B14">
        <v>250</v>
      </c>
      <c r="C14">
        <v>10</v>
      </c>
      <c r="D14">
        <v>2500</v>
      </c>
    </row>
    <row r="15" spans="1:4" x14ac:dyDescent="0.3">
      <c r="A15" s="4" t="s">
        <v>62</v>
      </c>
      <c r="B15">
        <v>345</v>
      </c>
      <c r="C15">
        <v>65</v>
      </c>
      <c r="D15">
        <v>5060</v>
      </c>
    </row>
    <row r="16" spans="1:4" x14ac:dyDescent="0.3">
      <c r="A16" s="5" t="s">
        <v>60</v>
      </c>
      <c r="B16">
        <v>120</v>
      </c>
      <c r="C16">
        <v>22</v>
      </c>
      <c r="D16">
        <v>2640</v>
      </c>
    </row>
    <row r="17" spans="1:4" x14ac:dyDescent="0.3">
      <c r="A17" s="5" t="s">
        <v>78</v>
      </c>
      <c r="B17">
        <v>30</v>
      </c>
      <c r="C17">
        <v>25</v>
      </c>
      <c r="D17">
        <v>750</v>
      </c>
    </row>
    <row r="18" spans="1:4" x14ac:dyDescent="0.3">
      <c r="A18" s="5" t="s">
        <v>103</v>
      </c>
      <c r="B18">
        <v>140</v>
      </c>
      <c r="C18">
        <v>8</v>
      </c>
      <c r="D18">
        <v>1120</v>
      </c>
    </row>
    <row r="19" spans="1:4" x14ac:dyDescent="0.3">
      <c r="A19" s="5" t="s">
        <v>110</v>
      </c>
      <c r="B19">
        <v>55</v>
      </c>
      <c r="C19">
        <v>10</v>
      </c>
      <c r="D19">
        <v>550</v>
      </c>
    </row>
    <row r="20" spans="1:4" x14ac:dyDescent="0.3">
      <c r="A20" s="4" t="s">
        <v>59</v>
      </c>
      <c r="B20">
        <v>190</v>
      </c>
      <c r="C20">
        <v>40</v>
      </c>
      <c r="D20">
        <v>2590</v>
      </c>
    </row>
    <row r="21" spans="1:4" x14ac:dyDescent="0.3">
      <c r="A21" s="5" t="s">
        <v>57</v>
      </c>
      <c r="B21">
        <v>95</v>
      </c>
      <c r="C21">
        <v>14</v>
      </c>
      <c r="D21">
        <v>1330</v>
      </c>
    </row>
    <row r="22" spans="1:4" x14ac:dyDescent="0.3">
      <c r="A22" s="5" t="s">
        <v>98</v>
      </c>
      <c r="B22">
        <v>35</v>
      </c>
      <c r="C22">
        <v>12</v>
      </c>
      <c r="D22">
        <v>420</v>
      </c>
    </row>
    <row r="23" spans="1:4" x14ac:dyDescent="0.3">
      <c r="A23" s="5" t="s">
        <v>165</v>
      </c>
      <c r="B23">
        <v>60</v>
      </c>
      <c r="C23">
        <v>14</v>
      </c>
      <c r="D23">
        <v>840</v>
      </c>
    </row>
    <row r="24" spans="1:4" x14ac:dyDescent="0.3">
      <c r="A24" s="3" t="s">
        <v>73</v>
      </c>
      <c r="B24">
        <v>2368</v>
      </c>
      <c r="C24">
        <v>234</v>
      </c>
      <c r="D24">
        <v>33194</v>
      </c>
    </row>
    <row r="25" spans="1:4" x14ac:dyDescent="0.3">
      <c r="A25" s="4" t="s">
        <v>135</v>
      </c>
      <c r="B25">
        <v>40</v>
      </c>
      <c r="C25">
        <v>2</v>
      </c>
      <c r="D25">
        <v>80</v>
      </c>
    </row>
    <row r="26" spans="1:4" x14ac:dyDescent="0.3">
      <c r="A26" s="5" t="s">
        <v>133</v>
      </c>
      <c r="B26">
        <v>40</v>
      </c>
      <c r="C26">
        <v>2</v>
      </c>
      <c r="D26">
        <v>80</v>
      </c>
    </row>
    <row r="27" spans="1:4" x14ac:dyDescent="0.3">
      <c r="A27" s="4" t="s">
        <v>190</v>
      </c>
      <c r="B27">
        <v>290</v>
      </c>
      <c r="C27">
        <v>50</v>
      </c>
      <c r="D27">
        <v>3300</v>
      </c>
    </row>
    <row r="28" spans="1:4" x14ac:dyDescent="0.3">
      <c r="A28" s="5" t="s">
        <v>188</v>
      </c>
      <c r="B28">
        <v>60</v>
      </c>
      <c r="C28">
        <v>18</v>
      </c>
      <c r="D28">
        <v>1080</v>
      </c>
    </row>
    <row r="29" spans="1:4" x14ac:dyDescent="0.3">
      <c r="A29" s="5" t="s">
        <v>197</v>
      </c>
      <c r="B29">
        <v>120</v>
      </c>
      <c r="C29">
        <v>9</v>
      </c>
      <c r="D29">
        <v>1080</v>
      </c>
    </row>
    <row r="30" spans="1:4" x14ac:dyDescent="0.3">
      <c r="A30" s="5" t="s">
        <v>205</v>
      </c>
      <c r="B30">
        <v>80</v>
      </c>
      <c r="C30">
        <v>9</v>
      </c>
      <c r="D30">
        <v>720</v>
      </c>
    </row>
    <row r="31" spans="1:4" x14ac:dyDescent="0.3">
      <c r="A31" s="5" t="s">
        <v>219</v>
      </c>
      <c r="B31">
        <v>30</v>
      </c>
      <c r="C31">
        <v>14</v>
      </c>
      <c r="D31">
        <v>420</v>
      </c>
    </row>
    <row r="32" spans="1:4" x14ac:dyDescent="0.3">
      <c r="A32" s="4" t="s">
        <v>102</v>
      </c>
      <c r="B32">
        <v>390</v>
      </c>
      <c r="C32">
        <v>29</v>
      </c>
      <c r="D32">
        <v>3020</v>
      </c>
    </row>
    <row r="33" spans="1:4" x14ac:dyDescent="0.3">
      <c r="A33" s="5" t="s">
        <v>100</v>
      </c>
      <c r="B33">
        <v>250</v>
      </c>
      <c r="C33">
        <v>6</v>
      </c>
      <c r="D33">
        <v>1500</v>
      </c>
    </row>
    <row r="34" spans="1:4" x14ac:dyDescent="0.3">
      <c r="A34" s="5" t="s">
        <v>161</v>
      </c>
      <c r="B34">
        <v>80</v>
      </c>
      <c r="C34">
        <v>7</v>
      </c>
      <c r="D34">
        <v>560</v>
      </c>
    </row>
    <row r="35" spans="1:4" x14ac:dyDescent="0.3">
      <c r="A35" s="5" t="s">
        <v>163</v>
      </c>
      <c r="B35">
        <v>60</v>
      </c>
      <c r="C35">
        <v>16</v>
      </c>
      <c r="D35">
        <v>960</v>
      </c>
    </row>
    <row r="36" spans="1:4" x14ac:dyDescent="0.3">
      <c r="A36" s="4" t="s">
        <v>128</v>
      </c>
      <c r="B36">
        <v>540</v>
      </c>
      <c r="C36">
        <v>43</v>
      </c>
      <c r="D36">
        <v>7420</v>
      </c>
    </row>
    <row r="37" spans="1:4" x14ac:dyDescent="0.3">
      <c r="A37" s="5" t="s">
        <v>126</v>
      </c>
      <c r="B37">
        <v>260</v>
      </c>
      <c r="C37">
        <v>9</v>
      </c>
      <c r="D37">
        <v>2340</v>
      </c>
    </row>
    <row r="38" spans="1:4" x14ac:dyDescent="0.3">
      <c r="A38" s="5" t="s">
        <v>176</v>
      </c>
      <c r="B38">
        <v>220</v>
      </c>
      <c r="C38">
        <v>19</v>
      </c>
      <c r="D38">
        <v>4180</v>
      </c>
    </row>
    <row r="39" spans="1:4" x14ac:dyDescent="0.3">
      <c r="A39" s="5" t="s">
        <v>213</v>
      </c>
      <c r="B39">
        <v>60</v>
      </c>
      <c r="C39">
        <v>15</v>
      </c>
      <c r="D39">
        <v>900</v>
      </c>
    </row>
    <row r="40" spans="1:4" x14ac:dyDescent="0.3">
      <c r="A40" s="4" t="s">
        <v>74</v>
      </c>
      <c r="B40">
        <v>1108</v>
      </c>
      <c r="C40">
        <v>110</v>
      </c>
      <c r="D40">
        <v>19374</v>
      </c>
    </row>
    <row r="41" spans="1:4" x14ac:dyDescent="0.3">
      <c r="A41" s="5" t="s">
        <v>71</v>
      </c>
      <c r="B41">
        <v>150</v>
      </c>
      <c r="C41">
        <v>18</v>
      </c>
      <c r="D41">
        <v>2700</v>
      </c>
    </row>
    <row r="42" spans="1:4" x14ac:dyDescent="0.3">
      <c r="A42" s="5" t="s">
        <v>112</v>
      </c>
      <c r="B42">
        <v>48</v>
      </c>
      <c r="C42">
        <v>3</v>
      </c>
      <c r="D42">
        <v>144</v>
      </c>
    </row>
    <row r="43" spans="1:4" x14ac:dyDescent="0.3">
      <c r="A43" s="5" t="s">
        <v>129</v>
      </c>
      <c r="B43">
        <v>260</v>
      </c>
      <c r="C43">
        <v>18</v>
      </c>
      <c r="D43">
        <v>4680</v>
      </c>
    </row>
    <row r="44" spans="1:4" x14ac:dyDescent="0.3">
      <c r="A44" s="5" t="s">
        <v>150</v>
      </c>
      <c r="B44">
        <v>140</v>
      </c>
      <c r="C44">
        <v>19</v>
      </c>
      <c r="D44">
        <v>2660</v>
      </c>
    </row>
    <row r="45" spans="1:4" x14ac:dyDescent="0.3">
      <c r="A45" s="5" t="s">
        <v>195</v>
      </c>
      <c r="B45">
        <v>40</v>
      </c>
      <c r="C45">
        <v>16</v>
      </c>
      <c r="D45">
        <v>640</v>
      </c>
    </row>
    <row r="46" spans="1:4" x14ac:dyDescent="0.3">
      <c r="A46" s="5" t="s">
        <v>203</v>
      </c>
      <c r="B46">
        <v>220</v>
      </c>
      <c r="C46">
        <v>15</v>
      </c>
      <c r="D46">
        <v>3300</v>
      </c>
    </row>
    <row r="47" spans="1:4" x14ac:dyDescent="0.3">
      <c r="A47" s="5" t="s">
        <v>217</v>
      </c>
      <c r="B47">
        <v>250</v>
      </c>
      <c r="C47">
        <v>21</v>
      </c>
      <c r="D47">
        <v>5250</v>
      </c>
    </row>
    <row r="48" spans="1:4" x14ac:dyDescent="0.3">
      <c r="A48" s="3" t="s">
        <v>14</v>
      </c>
      <c r="B48">
        <v>2570</v>
      </c>
      <c r="C48">
        <v>255</v>
      </c>
      <c r="D48">
        <v>30265</v>
      </c>
    </row>
    <row r="49" spans="1:4" x14ac:dyDescent="0.3">
      <c r="A49" s="4" t="s">
        <v>28</v>
      </c>
      <c r="B49">
        <v>480</v>
      </c>
      <c r="C49">
        <v>63</v>
      </c>
      <c r="D49">
        <v>5220</v>
      </c>
    </row>
    <row r="50" spans="1:4" x14ac:dyDescent="0.3">
      <c r="A50" s="5" t="s">
        <v>24</v>
      </c>
      <c r="B50">
        <v>140</v>
      </c>
      <c r="C50">
        <v>12</v>
      </c>
      <c r="D50">
        <v>1680</v>
      </c>
    </row>
    <row r="51" spans="1:4" x14ac:dyDescent="0.3">
      <c r="A51" s="5" t="s">
        <v>69</v>
      </c>
      <c r="B51">
        <v>55</v>
      </c>
      <c r="C51">
        <v>23</v>
      </c>
      <c r="D51">
        <v>1265</v>
      </c>
    </row>
    <row r="52" spans="1:4" x14ac:dyDescent="0.3">
      <c r="A52" s="5" t="s">
        <v>114</v>
      </c>
      <c r="B52">
        <v>55</v>
      </c>
      <c r="C52">
        <v>15</v>
      </c>
      <c r="D52">
        <v>825</v>
      </c>
    </row>
    <row r="53" spans="1:4" x14ac:dyDescent="0.3">
      <c r="A53" s="5" t="s">
        <v>116</v>
      </c>
      <c r="B53">
        <v>120</v>
      </c>
      <c r="C53">
        <v>2</v>
      </c>
      <c r="D53">
        <v>240</v>
      </c>
    </row>
    <row r="54" spans="1:4" x14ac:dyDescent="0.3">
      <c r="A54" s="5" t="s">
        <v>138</v>
      </c>
      <c r="B54">
        <v>110</v>
      </c>
      <c r="C54">
        <v>11</v>
      </c>
      <c r="D54">
        <v>1210</v>
      </c>
    </row>
    <row r="55" spans="1:4" x14ac:dyDescent="0.3">
      <c r="A55" s="4" t="s">
        <v>77</v>
      </c>
      <c r="B55">
        <v>180</v>
      </c>
      <c r="C55">
        <v>47</v>
      </c>
      <c r="D55">
        <v>3120</v>
      </c>
    </row>
    <row r="56" spans="1:4" x14ac:dyDescent="0.3">
      <c r="A56" s="5" t="s">
        <v>75</v>
      </c>
      <c r="B56">
        <v>80</v>
      </c>
      <c r="C56">
        <v>22</v>
      </c>
      <c r="D56">
        <v>1760</v>
      </c>
    </row>
    <row r="57" spans="1:4" x14ac:dyDescent="0.3">
      <c r="A57" s="5" t="s">
        <v>124</v>
      </c>
      <c r="B57">
        <v>40</v>
      </c>
      <c r="C57">
        <v>7</v>
      </c>
      <c r="D57">
        <v>280</v>
      </c>
    </row>
    <row r="58" spans="1:4" x14ac:dyDescent="0.3">
      <c r="A58" s="5" t="s">
        <v>136</v>
      </c>
      <c r="B58">
        <v>60</v>
      </c>
      <c r="C58">
        <v>18</v>
      </c>
      <c r="D58">
        <v>1080</v>
      </c>
    </row>
    <row r="59" spans="1:4" x14ac:dyDescent="0.3">
      <c r="A59" s="4" t="s">
        <v>32</v>
      </c>
      <c r="B59">
        <v>805</v>
      </c>
      <c r="C59">
        <v>59</v>
      </c>
      <c r="D59">
        <v>9180</v>
      </c>
    </row>
    <row r="60" spans="1:4" x14ac:dyDescent="0.3">
      <c r="A60" s="5" t="s">
        <v>30</v>
      </c>
      <c r="B60">
        <v>120</v>
      </c>
      <c r="C60">
        <v>5</v>
      </c>
      <c r="D60">
        <v>600</v>
      </c>
    </row>
    <row r="61" spans="1:4" x14ac:dyDescent="0.3">
      <c r="A61" s="5" t="s">
        <v>85</v>
      </c>
      <c r="B61">
        <v>110</v>
      </c>
      <c r="C61">
        <v>11</v>
      </c>
      <c r="D61">
        <v>1210</v>
      </c>
    </row>
    <row r="62" spans="1:4" x14ac:dyDescent="0.3">
      <c r="A62" s="5" t="s">
        <v>122</v>
      </c>
      <c r="B62">
        <v>260</v>
      </c>
      <c r="C62">
        <v>17</v>
      </c>
      <c r="D62">
        <v>4420</v>
      </c>
    </row>
    <row r="63" spans="1:4" x14ac:dyDescent="0.3">
      <c r="A63" s="5" t="s">
        <v>148</v>
      </c>
      <c r="B63">
        <v>95</v>
      </c>
      <c r="C63">
        <v>6</v>
      </c>
      <c r="D63">
        <v>570</v>
      </c>
    </row>
    <row r="64" spans="1:4" x14ac:dyDescent="0.3">
      <c r="A64" s="5" t="s">
        <v>170</v>
      </c>
      <c r="B64">
        <v>80</v>
      </c>
      <c r="C64">
        <v>7</v>
      </c>
      <c r="D64">
        <v>560</v>
      </c>
    </row>
    <row r="65" spans="1:4" x14ac:dyDescent="0.3">
      <c r="A65" s="5" t="s">
        <v>172</v>
      </c>
      <c r="B65">
        <v>140</v>
      </c>
      <c r="C65">
        <v>13</v>
      </c>
      <c r="D65">
        <v>1820</v>
      </c>
    </row>
    <row r="66" spans="1:4" x14ac:dyDescent="0.3">
      <c r="A66" s="4" t="s">
        <v>15</v>
      </c>
      <c r="B66">
        <v>650</v>
      </c>
      <c r="C66">
        <v>50</v>
      </c>
      <c r="D66">
        <v>9770</v>
      </c>
    </row>
    <row r="67" spans="1:4" x14ac:dyDescent="0.3">
      <c r="A67" s="5" t="s">
        <v>10</v>
      </c>
      <c r="B67">
        <v>70</v>
      </c>
      <c r="C67">
        <v>9</v>
      </c>
      <c r="D67">
        <v>630</v>
      </c>
    </row>
    <row r="68" spans="1:4" x14ac:dyDescent="0.3">
      <c r="A68" s="5" t="s">
        <v>154</v>
      </c>
      <c r="B68">
        <v>110</v>
      </c>
      <c r="C68">
        <v>3</v>
      </c>
      <c r="D68">
        <v>330</v>
      </c>
    </row>
    <row r="69" spans="1:4" x14ac:dyDescent="0.3">
      <c r="A69" s="5" t="s">
        <v>156</v>
      </c>
      <c r="B69">
        <v>250</v>
      </c>
      <c r="C69">
        <v>15</v>
      </c>
      <c r="D69">
        <v>3750</v>
      </c>
    </row>
    <row r="70" spans="1:4" x14ac:dyDescent="0.3">
      <c r="A70" s="5" t="s">
        <v>191</v>
      </c>
      <c r="B70">
        <v>220</v>
      </c>
      <c r="C70">
        <v>23</v>
      </c>
      <c r="D70">
        <v>5060</v>
      </c>
    </row>
    <row r="71" spans="1:4" x14ac:dyDescent="0.3">
      <c r="A71" s="4" t="s">
        <v>35</v>
      </c>
      <c r="B71">
        <v>455</v>
      </c>
      <c r="C71">
        <v>36</v>
      </c>
      <c r="D71">
        <v>2975</v>
      </c>
    </row>
    <row r="72" spans="1:4" x14ac:dyDescent="0.3">
      <c r="A72" s="5" t="s">
        <v>33</v>
      </c>
      <c r="B72">
        <v>250</v>
      </c>
      <c r="C72">
        <v>5</v>
      </c>
      <c r="D72">
        <v>1250</v>
      </c>
    </row>
    <row r="73" spans="1:4" x14ac:dyDescent="0.3">
      <c r="A73" s="5" t="s">
        <v>87</v>
      </c>
      <c r="B73">
        <v>40</v>
      </c>
      <c r="C73">
        <v>19</v>
      </c>
      <c r="D73">
        <v>760</v>
      </c>
    </row>
    <row r="74" spans="1:4" x14ac:dyDescent="0.3">
      <c r="A74" s="5" t="s">
        <v>108</v>
      </c>
      <c r="B74">
        <v>95</v>
      </c>
      <c r="C74">
        <v>5</v>
      </c>
      <c r="D74">
        <v>475</v>
      </c>
    </row>
    <row r="75" spans="1:4" x14ac:dyDescent="0.3">
      <c r="A75" s="5" t="s">
        <v>199</v>
      </c>
      <c r="B75">
        <v>70</v>
      </c>
      <c r="C75">
        <v>7</v>
      </c>
      <c r="D75">
        <v>490</v>
      </c>
    </row>
    <row r="76" spans="1:4" x14ac:dyDescent="0.3">
      <c r="A76" s="3" t="s">
        <v>19</v>
      </c>
      <c r="B76">
        <v>1819</v>
      </c>
      <c r="C76">
        <v>240</v>
      </c>
      <c r="D76">
        <v>25752</v>
      </c>
    </row>
    <row r="77" spans="1:4" x14ac:dyDescent="0.3">
      <c r="A77" s="4" t="s">
        <v>38</v>
      </c>
      <c r="B77">
        <v>260</v>
      </c>
      <c r="C77">
        <v>8</v>
      </c>
      <c r="D77">
        <v>2080</v>
      </c>
    </row>
    <row r="78" spans="1:4" x14ac:dyDescent="0.3">
      <c r="A78" s="5" t="s">
        <v>36</v>
      </c>
      <c r="B78">
        <v>260</v>
      </c>
      <c r="C78">
        <v>8</v>
      </c>
      <c r="D78">
        <v>2080</v>
      </c>
    </row>
    <row r="79" spans="1:4" x14ac:dyDescent="0.3">
      <c r="A79" s="4" t="s">
        <v>97</v>
      </c>
      <c r="B79">
        <v>238</v>
      </c>
      <c r="C79">
        <v>71</v>
      </c>
      <c r="D79">
        <v>4022</v>
      </c>
    </row>
    <row r="80" spans="1:4" x14ac:dyDescent="0.3">
      <c r="A80" s="5" t="s">
        <v>95</v>
      </c>
      <c r="B80">
        <v>70</v>
      </c>
      <c r="C80">
        <v>20</v>
      </c>
      <c r="D80">
        <v>1400</v>
      </c>
    </row>
    <row r="81" spans="1:4" x14ac:dyDescent="0.3">
      <c r="A81" s="5" t="s">
        <v>140</v>
      </c>
      <c r="B81">
        <v>30</v>
      </c>
      <c r="C81">
        <v>23</v>
      </c>
      <c r="D81">
        <v>690</v>
      </c>
    </row>
    <row r="82" spans="1:4" x14ac:dyDescent="0.3">
      <c r="A82" s="5" t="s">
        <v>174</v>
      </c>
      <c r="B82">
        <v>48</v>
      </c>
      <c r="C82">
        <v>14</v>
      </c>
      <c r="D82">
        <v>672</v>
      </c>
    </row>
    <row r="83" spans="1:4" x14ac:dyDescent="0.3">
      <c r="A83" s="5" t="s">
        <v>184</v>
      </c>
      <c r="B83">
        <v>90</v>
      </c>
      <c r="C83">
        <v>14</v>
      </c>
      <c r="D83">
        <v>1260</v>
      </c>
    </row>
    <row r="84" spans="1:4" x14ac:dyDescent="0.3">
      <c r="A84" s="4" t="s">
        <v>23</v>
      </c>
      <c r="B84">
        <v>778</v>
      </c>
      <c r="C84">
        <v>103</v>
      </c>
      <c r="D84">
        <v>14368</v>
      </c>
    </row>
    <row r="85" spans="1:4" x14ac:dyDescent="0.3">
      <c r="A85" s="5" t="s">
        <v>21</v>
      </c>
      <c r="B85">
        <v>250</v>
      </c>
      <c r="C85">
        <v>15</v>
      </c>
      <c r="D85">
        <v>3750</v>
      </c>
    </row>
    <row r="86" spans="1:4" x14ac:dyDescent="0.3">
      <c r="A86" s="5" t="s">
        <v>50</v>
      </c>
      <c r="B86">
        <v>250</v>
      </c>
      <c r="C86">
        <v>25</v>
      </c>
      <c r="D86">
        <v>6250</v>
      </c>
    </row>
    <row r="87" spans="1:4" x14ac:dyDescent="0.3">
      <c r="A87" s="5" t="s">
        <v>89</v>
      </c>
      <c r="B87">
        <v>80</v>
      </c>
      <c r="C87">
        <v>18</v>
      </c>
      <c r="D87">
        <v>1440</v>
      </c>
    </row>
    <row r="88" spans="1:4" x14ac:dyDescent="0.3">
      <c r="A88" s="5" t="s">
        <v>91</v>
      </c>
      <c r="B88">
        <v>90</v>
      </c>
      <c r="C88">
        <v>14</v>
      </c>
      <c r="D88">
        <v>1260</v>
      </c>
    </row>
    <row r="89" spans="1:4" x14ac:dyDescent="0.3">
      <c r="A89" s="5" t="s">
        <v>182</v>
      </c>
      <c r="B89">
        <v>60</v>
      </c>
      <c r="C89">
        <v>15</v>
      </c>
      <c r="D89">
        <v>900</v>
      </c>
    </row>
    <row r="90" spans="1:4" x14ac:dyDescent="0.3">
      <c r="A90" s="5" t="s">
        <v>201</v>
      </c>
      <c r="B90">
        <v>48</v>
      </c>
      <c r="C90">
        <v>16</v>
      </c>
      <c r="D90">
        <v>768</v>
      </c>
    </row>
    <row r="91" spans="1:4" x14ac:dyDescent="0.3">
      <c r="A91" s="4" t="s">
        <v>82</v>
      </c>
      <c r="B91">
        <v>200</v>
      </c>
      <c r="C91">
        <v>42</v>
      </c>
      <c r="D91">
        <v>4180</v>
      </c>
    </row>
    <row r="92" spans="1:4" x14ac:dyDescent="0.3">
      <c r="A92" s="5" t="s">
        <v>80</v>
      </c>
      <c r="B92">
        <v>90</v>
      </c>
      <c r="C92">
        <v>22</v>
      </c>
      <c r="D92">
        <v>1980</v>
      </c>
    </row>
    <row r="93" spans="1:4" x14ac:dyDescent="0.3">
      <c r="A93" s="5" t="s">
        <v>152</v>
      </c>
      <c r="B93">
        <v>110</v>
      </c>
      <c r="C93">
        <v>20</v>
      </c>
      <c r="D93">
        <v>2200</v>
      </c>
    </row>
    <row r="94" spans="1:4" x14ac:dyDescent="0.3">
      <c r="A94" s="4" t="s">
        <v>20</v>
      </c>
      <c r="B94">
        <v>343</v>
      </c>
      <c r="C94">
        <v>16</v>
      </c>
      <c r="D94">
        <v>1102</v>
      </c>
    </row>
    <row r="95" spans="1:4" x14ac:dyDescent="0.3">
      <c r="A95" s="5" t="s">
        <v>17</v>
      </c>
      <c r="B95">
        <v>35</v>
      </c>
      <c r="C95">
        <v>2</v>
      </c>
      <c r="D95">
        <v>70</v>
      </c>
    </row>
    <row r="96" spans="1:4" x14ac:dyDescent="0.3">
      <c r="A96" s="5" t="s">
        <v>93</v>
      </c>
      <c r="B96">
        <v>48</v>
      </c>
      <c r="C96">
        <v>9</v>
      </c>
      <c r="D96">
        <v>432</v>
      </c>
    </row>
    <row r="97" spans="1:4" x14ac:dyDescent="0.3">
      <c r="A97" s="5" t="s">
        <v>146</v>
      </c>
      <c r="B97">
        <v>80</v>
      </c>
      <c r="C97">
        <v>3</v>
      </c>
      <c r="D97">
        <v>240</v>
      </c>
    </row>
    <row r="98" spans="1:4" x14ac:dyDescent="0.3">
      <c r="A98" s="5" t="s">
        <v>215</v>
      </c>
      <c r="B98">
        <v>180</v>
      </c>
      <c r="C98">
        <v>2</v>
      </c>
      <c r="D98">
        <v>360</v>
      </c>
    </row>
    <row r="99" spans="1:4" x14ac:dyDescent="0.3">
      <c r="A99" s="3" t="s">
        <v>44</v>
      </c>
      <c r="B99">
        <v>1745</v>
      </c>
      <c r="C99">
        <v>245</v>
      </c>
      <c r="D99">
        <v>28480</v>
      </c>
    </row>
    <row r="100" spans="1:4" x14ac:dyDescent="0.3">
      <c r="A100" s="4" t="s">
        <v>68</v>
      </c>
      <c r="B100">
        <v>555</v>
      </c>
      <c r="C100">
        <v>90</v>
      </c>
      <c r="D100">
        <v>10020</v>
      </c>
    </row>
    <row r="101" spans="1:4" x14ac:dyDescent="0.3">
      <c r="A101" s="5" t="s">
        <v>66</v>
      </c>
      <c r="B101">
        <v>50</v>
      </c>
      <c r="C101">
        <v>18</v>
      </c>
      <c r="D101">
        <v>900</v>
      </c>
    </row>
    <row r="102" spans="1:4" x14ac:dyDescent="0.3">
      <c r="A102" s="5" t="s">
        <v>83</v>
      </c>
      <c r="B102">
        <v>250</v>
      </c>
      <c r="C102">
        <v>18</v>
      </c>
      <c r="D102">
        <v>4500</v>
      </c>
    </row>
    <row r="103" spans="1:4" x14ac:dyDescent="0.3">
      <c r="A103" s="5" t="s">
        <v>120</v>
      </c>
      <c r="B103">
        <v>35</v>
      </c>
      <c r="C103">
        <v>20</v>
      </c>
      <c r="D103">
        <v>700</v>
      </c>
    </row>
    <row r="104" spans="1:4" x14ac:dyDescent="0.3">
      <c r="A104" s="5" t="s">
        <v>131</v>
      </c>
      <c r="B104">
        <v>80</v>
      </c>
      <c r="C104">
        <v>14</v>
      </c>
      <c r="D104">
        <v>1120</v>
      </c>
    </row>
    <row r="105" spans="1:4" x14ac:dyDescent="0.3">
      <c r="A105" s="5" t="s">
        <v>186</v>
      </c>
      <c r="B105">
        <v>140</v>
      </c>
      <c r="C105">
        <v>20</v>
      </c>
      <c r="D105">
        <v>2800</v>
      </c>
    </row>
    <row r="106" spans="1:4" x14ac:dyDescent="0.3">
      <c r="A106" s="4" t="s">
        <v>45</v>
      </c>
      <c r="B106">
        <v>70</v>
      </c>
      <c r="C106">
        <v>5</v>
      </c>
      <c r="D106">
        <v>350</v>
      </c>
    </row>
    <row r="107" spans="1:4" x14ac:dyDescent="0.3">
      <c r="A107" s="5" t="s">
        <v>40</v>
      </c>
      <c r="B107">
        <v>70</v>
      </c>
      <c r="C107">
        <v>5</v>
      </c>
      <c r="D107">
        <v>350</v>
      </c>
    </row>
    <row r="108" spans="1:4" x14ac:dyDescent="0.3">
      <c r="A108" s="4" t="s">
        <v>169</v>
      </c>
      <c r="B108">
        <v>470</v>
      </c>
      <c r="C108">
        <v>18</v>
      </c>
      <c r="D108">
        <v>4080</v>
      </c>
    </row>
    <row r="109" spans="1:4" x14ac:dyDescent="0.3">
      <c r="A109" s="5" t="s">
        <v>167</v>
      </c>
      <c r="B109">
        <v>220</v>
      </c>
      <c r="C109">
        <v>14</v>
      </c>
      <c r="D109">
        <v>3080</v>
      </c>
    </row>
    <row r="110" spans="1:4" x14ac:dyDescent="0.3">
      <c r="A110" s="5" t="s">
        <v>209</v>
      </c>
      <c r="B110">
        <v>250</v>
      </c>
      <c r="C110">
        <v>4</v>
      </c>
      <c r="D110">
        <v>1000</v>
      </c>
    </row>
    <row r="111" spans="1:4" x14ac:dyDescent="0.3">
      <c r="A111" s="4" t="s">
        <v>107</v>
      </c>
      <c r="B111">
        <v>430</v>
      </c>
      <c r="C111">
        <v>62</v>
      </c>
      <c r="D111">
        <v>8910</v>
      </c>
    </row>
    <row r="112" spans="1:4" x14ac:dyDescent="0.3">
      <c r="A112" s="5" t="s">
        <v>105</v>
      </c>
      <c r="B112">
        <v>140</v>
      </c>
      <c r="C112">
        <v>16</v>
      </c>
      <c r="D112">
        <v>2240</v>
      </c>
    </row>
    <row r="113" spans="1:4" x14ac:dyDescent="0.3">
      <c r="A113" s="5" t="s">
        <v>118</v>
      </c>
      <c r="B113">
        <v>250</v>
      </c>
      <c r="C113">
        <v>23</v>
      </c>
      <c r="D113">
        <v>5750</v>
      </c>
    </row>
    <row r="114" spans="1:4" x14ac:dyDescent="0.3">
      <c r="A114" s="5" t="s">
        <v>178</v>
      </c>
      <c r="B114">
        <v>40</v>
      </c>
      <c r="C114">
        <v>23</v>
      </c>
      <c r="D114">
        <v>920</v>
      </c>
    </row>
    <row r="115" spans="1:4" x14ac:dyDescent="0.3">
      <c r="A115" s="4" t="s">
        <v>56</v>
      </c>
      <c r="B115">
        <v>220</v>
      </c>
      <c r="C115">
        <v>70</v>
      </c>
      <c r="D115">
        <v>5120</v>
      </c>
    </row>
    <row r="116" spans="1:4" x14ac:dyDescent="0.3">
      <c r="A116" s="5" t="s">
        <v>52</v>
      </c>
      <c r="B116">
        <v>70</v>
      </c>
      <c r="C116">
        <v>23</v>
      </c>
      <c r="D116">
        <v>1610</v>
      </c>
    </row>
    <row r="117" spans="1:4" x14ac:dyDescent="0.3">
      <c r="A117" s="5" t="s">
        <v>144</v>
      </c>
      <c r="B117">
        <v>60</v>
      </c>
      <c r="C117">
        <v>24</v>
      </c>
      <c r="D117">
        <v>1440</v>
      </c>
    </row>
    <row r="118" spans="1:4" x14ac:dyDescent="0.3">
      <c r="A118" s="5" t="s">
        <v>180</v>
      </c>
      <c r="B118">
        <v>90</v>
      </c>
      <c r="C118">
        <v>23</v>
      </c>
      <c r="D118">
        <v>2070</v>
      </c>
    </row>
    <row r="119" spans="1:4" x14ac:dyDescent="0.3">
      <c r="A119" s="3" t="s">
        <v>223</v>
      </c>
    </row>
    <row r="120" spans="1:4" x14ac:dyDescent="0.3">
      <c r="A120" s="4" t="s">
        <v>223</v>
      </c>
    </row>
    <row r="121" spans="1:4" x14ac:dyDescent="0.3">
      <c r="A121" s="5" t="s">
        <v>223</v>
      </c>
    </row>
    <row r="122" spans="1:4" x14ac:dyDescent="0.3">
      <c r="A122" s="3" t="s">
        <v>224</v>
      </c>
      <c r="B122">
        <v>9845</v>
      </c>
      <c r="C122">
        <v>1131</v>
      </c>
      <c r="D122">
        <v>131001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6"/>
  <sheetViews>
    <sheetView tabSelected="1" topLeftCell="E1" zoomScale="93" workbookViewId="0">
      <selection activeCell="AT3" sqref="AT3"/>
    </sheetView>
  </sheetViews>
  <sheetFormatPr defaultRowHeight="14.4" x14ac:dyDescent="0.3"/>
  <cols>
    <col min="1" max="1" width="10.5546875" customWidth="1"/>
    <col min="2" max="2" width="8.88671875" style="7"/>
    <col min="3" max="3" width="14.21875" style="7" customWidth="1"/>
    <col min="4" max="4" width="8.88671875" style="7"/>
    <col min="5" max="5" width="15.77734375" style="7" customWidth="1"/>
    <col min="6" max="6" width="13.44140625" style="7" customWidth="1"/>
    <col min="7" max="7" width="8.88671875" style="7"/>
    <col min="8" max="8" width="8" style="7" customWidth="1"/>
    <col min="9" max="9" width="9.77734375" style="7" customWidth="1"/>
    <col min="10" max="10" width="15.33203125" style="7" customWidth="1"/>
    <col min="11" max="11" width="14.6640625" style="7" customWidth="1"/>
    <col min="14" max="14" width="13.109375" customWidth="1"/>
    <col min="29" max="29" width="16.33203125" customWidth="1"/>
    <col min="30" max="30" width="13.33203125" customWidth="1"/>
    <col min="31" max="31" width="14.21875" customWidth="1"/>
    <col min="42" max="42" width="18.33203125" customWidth="1"/>
    <col min="46" max="46" width="10.88671875" customWidth="1"/>
  </cols>
  <sheetData>
    <row r="1" spans="1:46" x14ac:dyDescent="0.3">
      <c r="A1" s="1" t="s">
        <v>221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46" x14ac:dyDescent="0.3">
      <c r="A2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>
        <v>70</v>
      </c>
      <c r="H2" s="7">
        <v>9</v>
      </c>
      <c r="I2" s="7">
        <f>G2*H2</f>
        <v>630</v>
      </c>
      <c r="J2" s="7" t="s">
        <v>16</v>
      </c>
      <c r="K2" s="7">
        <v>4.7</v>
      </c>
      <c r="M2">
        <f>SUM(I2:I86)</f>
        <v>131001</v>
      </c>
      <c r="N2">
        <f>SUMIF(C2:C86,"hyderabad",I2:I86)</f>
        <v>37547</v>
      </c>
      <c r="O2">
        <f>SUMIFS(I2:I86,C2:C86,"Hyderabad",E2:E86,"Groceries")</f>
        <v>7285</v>
      </c>
      <c r="P2">
        <f>SUMPRODUCT(G2,H2)</f>
        <v>630</v>
      </c>
      <c r="R2">
        <f>AVERAGE(I2:I86)</f>
        <v>1541.1882352941177</v>
      </c>
      <c r="S2">
        <f>AVERAGEIF(C2:C86,"hyderabad",I2:I86)</f>
        <v>1564.4583333333333</v>
      </c>
      <c r="T2">
        <f>AVERAGEIFS(I2:I86,E2:E86,"groceries",C2:C86,"hyderabad")</f>
        <v>910.625</v>
      </c>
      <c r="V2">
        <f>COUNT(I2:I86)</f>
        <v>85</v>
      </c>
      <c r="W2">
        <f>COUNTA(J2:J86)</f>
        <v>85</v>
      </c>
      <c r="X2">
        <f>COUNTIF(C2:C86,"hyderabad")</f>
        <v>24</v>
      </c>
      <c r="Y2">
        <f>COUNTIFS(C2:C86,"hyderabad",E2:E86,"groceries")</f>
        <v>8</v>
      </c>
      <c r="AA2" t="str">
        <f>IF(I2&gt;=1000,"high value","low scale")</f>
        <v>low scale</v>
      </c>
      <c r="AB2" t="str" cm="1">
        <f t="array" ref="AB2">_xlfn.IFS(I2&gt;=2000,"Excellent",I2&gt;=1000,"Good",I2&gt;=500,"Average",TRUE,"Low")</f>
        <v>Average</v>
      </c>
      <c r="AC2" t="str">
        <f>IF(AND(I2&gt;=1000,K2&gt;=4.5),"top transaction","normal")</f>
        <v>normal</v>
      </c>
      <c r="AD2" t="str">
        <f>IF(OR(J2="UPI",J2="card"),"display digital","card")</f>
        <v>display digital</v>
      </c>
      <c r="AE2" t="str">
        <f>IF(AND(I2&gt;=1000,OR(J2="UPI",J2="Card")),"Eligible","Not Eligible")</f>
        <v>Not Eligible</v>
      </c>
      <c r="AF2" t="str" cm="1">
        <f t="array" ref="AF2:AO25">_xlfn._xlws.FILTER(A2:J86,C2:C86="hyderabad")</f>
        <v>INV1001</v>
      </c>
      <c r="AG2" t="str">
        <v>2026-01-01</v>
      </c>
      <c r="AH2" t="str">
        <v>Hyderabad</v>
      </c>
      <c r="AI2" t="str">
        <v>A</v>
      </c>
      <c r="AJ2" t="str">
        <v>Groceries</v>
      </c>
      <c r="AK2" t="str">
        <v>Sugar</v>
      </c>
      <c r="AL2">
        <v>70</v>
      </c>
      <c r="AM2">
        <v>9</v>
      </c>
      <c r="AN2">
        <v>630</v>
      </c>
      <c r="AO2" t="str">
        <v>UPI</v>
      </c>
      <c r="AP2" t="str">
        <f>VLOOKUP(A16,A2:K86,3,FALSE)</f>
        <v>Mahabubnagar</v>
      </c>
      <c r="AR2" t="str">
        <f>HLOOKUP(A7,A2:K86,6)</f>
        <v>Groceries</v>
      </c>
      <c r="AS2" t="str">
        <f>_xlfn.XLOOKUP(A16,A2:A86,F2:F86,6,0)</f>
        <v>Biscuits</v>
      </c>
      <c r="AT2" t="str">
        <f>INDEX(C2:C86,MATCH("INV1005",A2:A86,0))</f>
        <v>Nalgonda</v>
      </c>
    </row>
    <row r="3" spans="1:46" x14ac:dyDescent="0.3">
      <c r="A3" t="s">
        <v>17</v>
      </c>
      <c r="B3" s="7" t="s">
        <v>18</v>
      </c>
      <c r="C3" s="7" t="s">
        <v>12</v>
      </c>
      <c r="D3" s="7" t="s">
        <v>13</v>
      </c>
      <c r="E3" s="7" t="s">
        <v>19</v>
      </c>
      <c r="F3" s="7" t="s">
        <v>20</v>
      </c>
      <c r="G3" s="7">
        <v>35</v>
      </c>
      <c r="H3" s="7">
        <v>2</v>
      </c>
      <c r="I3" s="7">
        <f t="shared" ref="I3:I33" si="0">G3*H3</f>
        <v>70</v>
      </c>
      <c r="J3" s="7" t="s">
        <v>16</v>
      </c>
      <c r="K3" s="7">
        <v>4.2</v>
      </c>
      <c r="AA3" t="str">
        <f t="shared" ref="AA3:AA66" si="1">IF(I3&gt;=1000,"high value","low scale")</f>
        <v>low scale</v>
      </c>
      <c r="AB3" t="str" cm="1">
        <f t="array" ref="AB3">_xlfn.IFS(I3&gt;=2000,"Excellent",I3&gt;=1000,"Good",I3&gt;=500,"Average",TRUE,"Low")</f>
        <v>Low</v>
      </c>
      <c r="AC3" t="str">
        <f t="shared" ref="AC3:AC66" si="2">IF(AND(I3&gt;=1000,K3&gt;=4.5),"top transaction","normal")</f>
        <v>normal</v>
      </c>
      <c r="AD3" t="str">
        <f t="shared" ref="AD3:AD66" si="3">IF(OR(J3="UPI",J3="card"),"display digital","card")</f>
        <v>display digital</v>
      </c>
      <c r="AE3" t="str">
        <f t="shared" ref="AE3:AE66" si="4">IF(AND(I3&gt;=1000,OR(J3="UPI",J3="Card")),"Eligible","Not Eligible")</f>
        <v>Not Eligible</v>
      </c>
      <c r="AF3" t="str">
        <v>INV1002</v>
      </c>
      <c r="AG3" t="str">
        <v>2026-01-02</v>
      </c>
      <c r="AH3" t="str">
        <v>Hyderabad</v>
      </c>
      <c r="AI3" t="str">
        <v>A</v>
      </c>
      <c r="AJ3" t="str">
        <v>Personal Care</v>
      </c>
      <c r="AK3" t="str">
        <v>Toothpaste</v>
      </c>
      <c r="AL3">
        <v>35</v>
      </c>
      <c r="AM3">
        <v>2</v>
      </c>
      <c r="AN3">
        <v>70</v>
      </c>
      <c r="AO3" t="str">
        <v>UPI</v>
      </c>
    </row>
    <row r="4" spans="1:46" x14ac:dyDescent="0.3">
      <c r="A4" t="s">
        <v>21</v>
      </c>
      <c r="B4" s="7" t="s">
        <v>22</v>
      </c>
      <c r="C4" s="7" t="s">
        <v>12</v>
      </c>
      <c r="D4" s="7" t="s">
        <v>13</v>
      </c>
      <c r="E4" s="7" t="s">
        <v>19</v>
      </c>
      <c r="F4" s="7" t="s">
        <v>23</v>
      </c>
      <c r="G4" s="7">
        <v>250</v>
      </c>
      <c r="H4" s="7">
        <v>15</v>
      </c>
      <c r="I4" s="7">
        <f t="shared" si="0"/>
        <v>3750</v>
      </c>
      <c r="J4" s="7" t="s">
        <v>16</v>
      </c>
      <c r="K4" s="7">
        <v>4.4000000000000004</v>
      </c>
      <c r="P4" cm="1">
        <f t="array" ref="P4">SUMPRODUCT((C2:C86="Hyderabad")*(G2:G86)*(H2:H86))</f>
        <v>37547</v>
      </c>
      <c r="AA4" t="str">
        <f t="shared" si="1"/>
        <v>high value</v>
      </c>
      <c r="AB4" t="str" cm="1">
        <f t="array" ref="AB4">_xlfn.IFS(I4&gt;=2000,"Excellent",I4&gt;=1000,"Good",I4&gt;=500,"Average",TRUE,"Low")</f>
        <v>Excellent</v>
      </c>
      <c r="AC4" t="str">
        <f t="shared" si="2"/>
        <v>normal</v>
      </c>
      <c r="AD4" t="str">
        <f t="shared" si="3"/>
        <v>display digital</v>
      </c>
      <c r="AE4" t="str">
        <f t="shared" si="4"/>
        <v>Eligible</v>
      </c>
      <c r="AF4" t="str">
        <v>INV1003</v>
      </c>
      <c r="AG4" t="str">
        <v>2026-01-03</v>
      </c>
      <c r="AH4" t="str">
        <v>Hyderabad</v>
      </c>
      <c r="AI4" t="str">
        <v>A</v>
      </c>
      <c r="AJ4" t="str">
        <v>Personal Care</v>
      </c>
      <c r="AK4" t="str">
        <v>Shampoo</v>
      </c>
      <c r="AL4">
        <v>250</v>
      </c>
      <c r="AM4">
        <v>15</v>
      </c>
      <c r="AN4">
        <v>3750</v>
      </c>
      <c r="AO4" t="str">
        <v>UPI</v>
      </c>
    </row>
    <row r="5" spans="1:46" x14ac:dyDescent="0.3">
      <c r="A5" t="s">
        <v>24</v>
      </c>
      <c r="B5" s="7" t="s">
        <v>25</v>
      </c>
      <c r="C5" s="7" t="s">
        <v>26</v>
      </c>
      <c r="D5" s="7" t="s">
        <v>27</v>
      </c>
      <c r="E5" s="7" t="s">
        <v>14</v>
      </c>
      <c r="F5" s="7" t="s">
        <v>28</v>
      </c>
      <c r="G5" s="7">
        <v>140</v>
      </c>
      <c r="H5" s="7">
        <v>12</v>
      </c>
      <c r="I5" s="7">
        <f t="shared" si="0"/>
        <v>1680</v>
      </c>
      <c r="J5" s="7" t="s">
        <v>29</v>
      </c>
      <c r="K5" s="7">
        <v>4.2</v>
      </c>
      <c r="AA5" t="str">
        <f t="shared" si="1"/>
        <v>high value</v>
      </c>
      <c r="AB5" t="str" cm="1">
        <f t="array" ref="AB5">_xlfn.IFS(I5&gt;=2000,"Excellent",I5&gt;=1000,"Good",I5&gt;=500,"Average",TRUE,"Low")</f>
        <v>Good</v>
      </c>
      <c r="AC5" t="str">
        <f t="shared" si="2"/>
        <v>normal</v>
      </c>
      <c r="AD5" t="str">
        <f t="shared" si="3"/>
        <v>card</v>
      </c>
      <c r="AE5" t="str">
        <f t="shared" si="4"/>
        <v>Not Eligible</v>
      </c>
      <c r="AF5" t="str">
        <v>INV1010</v>
      </c>
      <c r="AG5" t="str">
        <v>2026-01-10</v>
      </c>
      <c r="AH5" t="str">
        <v>Hyderabad</v>
      </c>
      <c r="AI5" t="str">
        <v>A</v>
      </c>
      <c r="AJ5" t="str">
        <v>Personal Care</v>
      </c>
      <c r="AK5" t="str">
        <v>Shampoo</v>
      </c>
      <c r="AL5">
        <v>250</v>
      </c>
      <c r="AM5">
        <v>25</v>
      </c>
      <c r="AN5">
        <v>6250</v>
      </c>
      <c r="AO5" t="str">
        <v>UPI</v>
      </c>
    </row>
    <row r="6" spans="1:46" x14ac:dyDescent="0.3">
      <c r="A6" t="s">
        <v>30</v>
      </c>
      <c r="B6" s="7" t="s">
        <v>31</v>
      </c>
      <c r="C6" s="7" t="s">
        <v>26</v>
      </c>
      <c r="D6" s="7" t="s">
        <v>27</v>
      </c>
      <c r="E6" s="7" t="s">
        <v>14</v>
      </c>
      <c r="F6" s="7" t="s">
        <v>32</v>
      </c>
      <c r="G6" s="7">
        <v>120</v>
      </c>
      <c r="H6" s="7">
        <v>5</v>
      </c>
      <c r="I6" s="7">
        <f t="shared" si="0"/>
        <v>600</v>
      </c>
      <c r="J6" s="7" t="s">
        <v>29</v>
      </c>
      <c r="K6" s="7">
        <v>4.8</v>
      </c>
      <c r="AA6" t="str">
        <f t="shared" si="1"/>
        <v>low scale</v>
      </c>
      <c r="AB6" t="str" cm="1">
        <f t="array" ref="AB6">_xlfn.IFS(I6&gt;=2000,"Excellent",I6&gt;=1000,"Good",I6&gt;=500,"Average",TRUE,"Low")</f>
        <v>Average</v>
      </c>
      <c r="AC6" t="str">
        <f t="shared" si="2"/>
        <v>normal</v>
      </c>
      <c r="AD6" t="str">
        <f t="shared" si="3"/>
        <v>card</v>
      </c>
      <c r="AE6" t="str">
        <f t="shared" si="4"/>
        <v>Not Eligible</v>
      </c>
      <c r="AF6" t="str">
        <v>INV1012</v>
      </c>
      <c r="AG6" t="str">
        <v>2026-01-12</v>
      </c>
      <c r="AH6" t="str">
        <v>Hyderabad</v>
      </c>
      <c r="AI6" t="str">
        <v>A</v>
      </c>
      <c r="AJ6" t="str">
        <v>Beverages</v>
      </c>
      <c r="AK6" t="str">
        <v>Tea Powder</v>
      </c>
      <c r="AL6">
        <v>95</v>
      </c>
      <c r="AM6">
        <v>14</v>
      </c>
      <c r="AN6">
        <v>1330</v>
      </c>
      <c r="AO6" t="str">
        <v>Cash</v>
      </c>
    </row>
    <row r="7" spans="1:46" x14ac:dyDescent="0.3">
      <c r="A7" t="s">
        <v>33</v>
      </c>
      <c r="B7" s="7" t="s">
        <v>34</v>
      </c>
      <c r="C7" s="7" t="s">
        <v>26</v>
      </c>
      <c r="D7" s="7" t="s">
        <v>27</v>
      </c>
      <c r="E7" s="7" t="s">
        <v>14</v>
      </c>
      <c r="F7" s="7" t="s">
        <v>35</v>
      </c>
      <c r="G7" s="7">
        <v>250</v>
      </c>
      <c r="H7" s="7">
        <v>5</v>
      </c>
      <c r="I7" s="7">
        <f t="shared" si="0"/>
        <v>1250</v>
      </c>
      <c r="J7" s="7" t="s">
        <v>29</v>
      </c>
      <c r="K7" s="7">
        <v>4.0999999999999996</v>
      </c>
      <c r="AA7" t="str">
        <f t="shared" si="1"/>
        <v>high value</v>
      </c>
      <c r="AB7" t="str" cm="1">
        <f t="array" ref="AB7">_xlfn.IFS(I7&gt;=2000,"Excellent",I7&gt;=1000,"Good",I7&gt;=500,"Average",TRUE,"Low")</f>
        <v>Good</v>
      </c>
      <c r="AC7" t="str">
        <f t="shared" si="2"/>
        <v>normal</v>
      </c>
      <c r="AD7" t="str">
        <f t="shared" si="3"/>
        <v>card</v>
      </c>
      <c r="AE7" t="str">
        <f t="shared" si="4"/>
        <v>Not Eligible</v>
      </c>
      <c r="AF7" t="str">
        <v>INV1016</v>
      </c>
      <c r="AG7" t="str">
        <v>2026-01-16</v>
      </c>
      <c r="AH7" t="str">
        <v>Hyderabad</v>
      </c>
      <c r="AI7" t="str">
        <v>A</v>
      </c>
      <c r="AJ7" t="str">
        <v>Groceries</v>
      </c>
      <c r="AK7" t="str">
        <v>Dal</v>
      </c>
      <c r="AL7">
        <v>55</v>
      </c>
      <c r="AM7">
        <v>23</v>
      </c>
      <c r="AN7">
        <v>1265</v>
      </c>
      <c r="AO7" t="str">
        <v>Cash</v>
      </c>
    </row>
    <row r="8" spans="1:46" x14ac:dyDescent="0.3">
      <c r="A8" t="s">
        <v>36</v>
      </c>
      <c r="B8" s="7" t="s">
        <v>37</v>
      </c>
      <c r="C8" s="7" t="s">
        <v>26</v>
      </c>
      <c r="D8" s="7" t="s">
        <v>27</v>
      </c>
      <c r="E8" s="7" t="s">
        <v>19</v>
      </c>
      <c r="F8" s="7" t="s">
        <v>38</v>
      </c>
      <c r="G8" s="7">
        <v>260</v>
      </c>
      <c r="H8" s="7">
        <v>8</v>
      </c>
      <c r="I8" s="7">
        <f t="shared" si="0"/>
        <v>2080</v>
      </c>
      <c r="J8" s="7" t="s">
        <v>39</v>
      </c>
      <c r="K8" s="7">
        <v>4.0999999999999996</v>
      </c>
      <c r="AA8" t="str">
        <f t="shared" si="1"/>
        <v>high value</v>
      </c>
      <c r="AB8" t="str" cm="1">
        <f t="array" ref="AB8">_xlfn.IFS(I8&gt;=2000,"Excellent",I8&gt;=1000,"Good",I8&gt;=500,"Average",TRUE,"Low")</f>
        <v>Excellent</v>
      </c>
      <c r="AC8" t="str">
        <f t="shared" si="2"/>
        <v>normal</v>
      </c>
      <c r="AD8" t="str">
        <f t="shared" si="3"/>
        <v>display digital</v>
      </c>
      <c r="AE8" t="str">
        <f t="shared" si="4"/>
        <v>Eligible</v>
      </c>
      <c r="AF8" t="str">
        <v>INV1018</v>
      </c>
      <c r="AG8" t="str">
        <v>2026-01-18</v>
      </c>
      <c r="AH8" t="str">
        <v>Hyderabad</v>
      </c>
      <c r="AI8" t="str">
        <v>A</v>
      </c>
      <c r="AJ8" t="str">
        <v>Groceries</v>
      </c>
      <c r="AK8" t="str">
        <v>Oil</v>
      </c>
      <c r="AL8">
        <v>80</v>
      </c>
      <c r="AM8">
        <v>22</v>
      </c>
      <c r="AN8">
        <v>1760</v>
      </c>
      <c r="AO8" t="str">
        <v>Cash</v>
      </c>
    </row>
    <row r="9" spans="1:46" x14ac:dyDescent="0.3">
      <c r="A9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s="7">
        <v>70</v>
      </c>
      <c r="H9" s="7">
        <v>5</v>
      </c>
      <c r="I9" s="7">
        <f t="shared" si="0"/>
        <v>350</v>
      </c>
      <c r="J9" s="7" t="s">
        <v>29</v>
      </c>
      <c r="K9" s="7">
        <v>4.3</v>
      </c>
      <c r="AA9" t="str">
        <f t="shared" si="1"/>
        <v>low scale</v>
      </c>
      <c r="AB9" t="str" cm="1">
        <f t="array" ref="AB9">_xlfn.IFS(I9&gt;=2000,"Excellent",I9&gt;=1000,"Good",I9&gt;=500,"Average",TRUE,"Low")</f>
        <v>Low</v>
      </c>
      <c r="AC9" t="str">
        <f t="shared" si="2"/>
        <v>normal</v>
      </c>
      <c r="AD9" t="str">
        <f t="shared" si="3"/>
        <v>card</v>
      </c>
      <c r="AE9" t="str">
        <f t="shared" si="4"/>
        <v>Not Eligible</v>
      </c>
      <c r="AF9" t="str">
        <v>INV1023</v>
      </c>
      <c r="AG9" t="str">
        <v>2026-01-23</v>
      </c>
      <c r="AH9" t="str">
        <v>Hyderabad</v>
      </c>
      <c r="AI9" t="str">
        <v>A</v>
      </c>
      <c r="AJ9" t="str">
        <v>Groceries</v>
      </c>
      <c r="AK9" t="str">
        <v>Wheat Flour</v>
      </c>
      <c r="AL9">
        <v>40</v>
      </c>
      <c r="AM9">
        <v>19</v>
      </c>
      <c r="AN9">
        <v>760</v>
      </c>
      <c r="AO9" t="str">
        <v>UPI</v>
      </c>
    </row>
    <row r="10" spans="1:46" x14ac:dyDescent="0.3">
      <c r="A10" t="s">
        <v>46</v>
      </c>
      <c r="B10" s="7" t="s">
        <v>47</v>
      </c>
      <c r="C10" s="7" t="s">
        <v>26</v>
      </c>
      <c r="D10" s="7" t="s">
        <v>27</v>
      </c>
      <c r="E10" s="7" t="s">
        <v>48</v>
      </c>
      <c r="F10" s="7" t="s">
        <v>49</v>
      </c>
      <c r="G10" s="7">
        <v>110</v>
      </c>
      <c r="H10" s="7">
        <v>8</v>
      </c>
      <c r="I10" s="7">
        <f t="shared" si="0"/>
        <v>880</v>
      </c>
      <c r="J10" s="7" t="s">
        <v>39</v>
      </c>
      <c r="K10" s="7">
        <v>4.3</v>
      </c>
      <c r="AA10" t="str">
        <f t="shared" si="1"/>
        <v>low scale</v>
      </c>
      <c r="AB10" t="str" cm="1">
        <f t="array" ref="AB10">_xlfn.IFS(I10&gt;=2000,"Excellent",I10&gt;=1000,"Good",I10&gt;=500,"Average",TRUE,"Low")</f>
        <v>Average</v>
      </c>
      <c r="AC10" t="str">
        <f t="shared" si="2"/>
        <v>normal</v>
      </c>
      <c r="AD10" t="str">
        <f t="shared" si="3"/>
        <v>display digital</v>
      </c>
      <c r="AE10" t="str">
        <f t="shared" si="4"/>
        <v>Not Eligible</v>
      </c>
      <c r="AF10" t="str">
        <v>INV1027</v>
      </c>
      <c r="AG10" t="str">
        <v>2026-01-27</v>
      </c>
      <c r="AH10" t="str">
        <v>Hyderabad</v>
      </c>
      <c r="AI10" t="str">
        <v>A</v>
      </c>
      <c r="AJ10" t="str">
        <v>Personal Care</v>
      </c>
      <c r="AK10" t="str">
        <v>Hand Wash</v>
      </c>
      <c r="AL10">
        <v>70</v>
      </c>
      <c r="AM10">
        <v>20</v>
      </c>
      <c r="AN10">
        <v>1400</v>
      </c>
      <c r="AO10" t="str">
        <v>UPI</v>
      </c>
    </row>
    <row r="11" spans="1:46" x14ac:dyDescent="0.3">
      <c r="A11" t="s">
        <v>50</v>
      </c>
      <c r="B11" s="7" t="s">
        <v>51</v>
      </c>
      <c r="C11" s="7" t="s">
        <v>12</v>
      </c>
      <c r="D11" s="7" t="s">
        <v>13</v>
      </c>
      <c r="E11" s="7" t="s">
        <v>19</v>
      </c>
      <c r="F11" s="7" t="s">
        <v>23</v>
      </c>
      <c r="G11" s="7">
        <v>250</v>
      </c>
      <c r="H11" s="7">
        <v>25</v>
      </c>
      <c r="I11" s="7">
        <f t="shared" si="0"/>
        <v>6250</v>
      </c>
      <c r="J11" s="7" t="s">
        <v>16</v>
      </c>
      <c r="K11" s="7">
        <v>4.2</v>
      </c>
      <c r="AA11" t="str">
        <f t="shared" si="1"/>
        <v>high value</v>
      </c>
      <c r="AB11" t="str" cm="1">
        <f t="array" ref="AB11">_xlfn.IFS(I11&gt;=2000,"Excellent",I11&gt;=1000,"Good",I11&gt;=500,"Average",TRUE,"Low")</f>
        <v>Excellent</v>
      </c>
      <c r="AC11" t="str">
        <f t="shared" si="2"/>
        <v>normal</v>
      </c>
      <c r="AD11" t="str">
        <f t="shared" si="3"/>
        <v>display digital</v>
      </c>
      <c r="AE11" t="str">
        <f t="shared" si="4"/>
        <v>Eligible</v>
      </c>
      <c r="AF11" t="str">
        <v>INV1028</v>
      </c>
      <c r="AG11" t="str">
        <v>2026-01-28</v>
      </c>
      <c r="AH11" t="str">
        <v>Hyderabad</v>
      </c>
      <c r="AI11" t="str">
        <v>A</v>
      </c>
      <c r="AJ11" t="str">
        <v>Beverages</v>
      </c>
      <c r="AK11" t="str">
        <v>Tea Powder</v>
      </c>
      <c r="AL11">
        <v>35</v>
      </c>
      <c r="AM11">
        <v>12</v>
      </c>
      <c r="AN11">
        <v>420</v>
      </c>
      <c r="AO11" t="str">
        <v>UPI</v>
      </c>
    </row>
    <row r="12" spans="1:46" x14ac:dyDescent="0.3">
      <c r="A12" t="s">
        <v>52</v>
      </c>
      <c r="B12" s="7" t="s">
        <v>53</v>
      </c>
      <c r="C12" s="7" t="s">
        <v>54</v>
      </c>
      <c r="D12" s="7" t="s">
        <v>55</v>
      </c>
      <c r="E12" s="7" t="s">
        <v>44</v>
      </c>
      <c r="F12" s="7" t="s">
        <v>56</v>
      </c>
      <c r="G12" s="7">
        <v>70</v>
      </c>
      <c r="H12" s="7">
        <v>23</v>
      </c>
      <c r="I12" s="7">
        <f t="shared" si="0"/>
        <v>1610</v>
      </c>
      <c r="J12" s="7" t="s">
        <v>29</v>
      </c>
      <c r="K12" s="7">
        <v>4.8</v>
      </c>
      <c r="AA12" t="str">
        <f t="shared" si="1"/>
        <v>high value</v>
      </c>
      <c r="AB12" t="str" cm="1">
        <f t="array" ref="AB12">_xlfn.IFS(I12&gt;=2000,"Excellent",I12&gt;=1000,"Good",I12&gt;=500,"Average",TRUE,"Low")</f>
        <v>Good</v>
      </c>
      <c r="AC12" t="str">
        <f t="shared" si="2"/>
        <v>top transaction</v>
      </c>
      <c r="AD12" t="str">
        <f t="shared" si="3"/>
        <v>card</v>
      </c>
      <c r="AE12" t="str">
        <f t="shared" si="4"/>
        <v>Not Eligible</v>
      </c>
      <c r="AF12" t="str">
        <v>INV1032</v>
      </c>
      <c r="AG12" t="str">
        <v>2026-02-01</v>
      </c>
      <c r="AH12" t="str">
        <v>Hyderabad</v>
      </c>
      <c r="AI12" t="str">
        <v>A</v>
      </c>
      <c r="AJ12" t="str">
        <v>Groceries</v>
      </c>
      <c r="AK12" t="str">
        <v>Wheat Flour</v>
      </c>
      <c r="AL12">
        <v>95</v>
      </c>
      <c r="AM12">
        <v>5</v>
      </c>
      <c r="AN12">
        <v>475</v>
      </c>
      <c r="AO12" t="str">
        <v>UPI</v>
      </c>
    </row>
    <row r="13" spans="1:46" x14ac:dyDescent="0.3">
      <c r="A13" t="s">
        <v>57</v>
      </c>
      <c r="B13" s="7" t="s">
        <v>58</v>
      </c>
      <c r="C13" s="7" t="s">
        <v>12</v>
      </c>
      <c r="D13" s="7" t="s">
        <v>13</v>
      </c>
      <c r="E13" s="7" t="s">
        <v>48</v>
      </c>
      <c r="F13" s="7" t="s">
        <v>59</v>
      </c>
      <c r="G13" s="7">
        <v>95</v>
      </c>
      <c r="H13" s="7">
        <v>14</v>
      </c>
      <c r="I13" s="7">
        <f t="shared" si="0"/>
        <v>1330</v>
      </c>
      <c r="J13" s="7" t="s">
        <v>29</v>
      </c>
      <c r="K13" s="7">
        <v>4.0999999999999996</v>
      </c>
      <c r="AA13" t="str">
        <f t="shared" si="1"/>
        <v>high value</v>
      </c>
      <c r="AB13" t="str" cm="1">
        <f t="array" ref="AB13">_xlfn.IFS(I13&gt;=2000,"Excellent",I13&gt;=1000,"Good",I13&gt;=500,"Average",TRUE,"Low")</f>
        <v>Good</v>
      </c>
      <c r="AC13" t="str">
        <f t="shared" si="2"/>
        <v>normal</v>
      </c>
      <c r="AD13" t="str">
        <f t="shared" si="3"/>
        <v>card</v>
      </c>
      <c r="AE13" t="str">
        <f t="shared" si="4"/>
        <v>Not Eligible</v>
      </c>
      <c r="AF13" t="str">
        <v>INV1034</v>
      </c>
      <c r="AG13" t="str">
        <v>2026-02-03</v>
      </c>
      <c r="AH13" t="str">
        <v>Hyderabad</v>
      </c>
      <c r="AI13" t="str">
        <v>A</v>
      </c>
      <c r="AJ13" t="str">
        <v>Dairy</v>
      </c>
      <c r="AK13" t="str">
        <v>Paneer</v>
      </c>
      <c r="AL13">
        <v>48</v>
      </c>
      <c r="AM13">
        <v>3</v>
      </c>
      <c r="AN13">
        <v>144</v>
      </c>
      <c r="AO13" t="str">
        <v>Card</v>
      </c>
    </row>
    <row r="14" spans="1:46" x14ac:dyDescent="0.3">
      <c r="A14" t="s">
        <v>60</v>
      </c>
      <c r="B14" s="7" t="s">
        <v>61</v>
      </c>
      <c r="C14" s="7" t="s">
        <v>26</v>
      </c>
      <c r="D14" s="7" t="s">
        <v>27</v>
      </c>
      <c r="E14" s="7" t="s">
        <v>48</v>
      </c>
      <c r="F14" s="7" t="s">
        <v>62</v>
      </c>
      <c r="G14" s="7">
        <v>120</v>
      </c>
      <c r="H14" s="7">
        <v>22</v>
      </c>
      <c r="I14" s="7">
        <f t="shared" si="0"/>
        <v>2640</v>
      </c>
      <c r="J14" s="7" t="s">
        <v>29</v>
      </c>
      <c r="K14" s="7">
        <v>4.0999999999999996</v>
      </c>
      <c r="AA14" t="str">
        <f t="shared" si="1"/>
        <v>high value</v>
      </c>
      <c r="AB14" t="str" cm="1">
        <f t="array" ref="AB14">_xlfn.IFS(I14&gt;=2000,"Excellent",I14&gt;=1000,"Good",I14&gt;=500,"Average",TRUE,"Low")</f>
        <v>Excellent</v>
      </c>
      <c r="AC14" t="str">
        <f t="shared" si="2"/>
        <v>normal</v>
      </c>
      <c r="AD14" t="str">
        <f t="shared" si="3"/>
        <v>card</v>
      </c>
      <c r="AE14" t="str">
        <f t="shared" si="4"/>
        <v>Not Eligible</v>
      </c>
      <c r="AF14" t="str">
        <v>INV1035</v>
      </c>
      <c r="AG14" t="str">
        <v>2026-02-04</v>
      </c>
      <c r="AH14" t="str">
        <v>Hyderabad</v>
      </c>
      <c r="AI14" t="str">
        <v>A</v>
      </c>
      <c r="AJ14" t="str">
        <v>Groceries</v>
      </c>
      <c r="AK14" t="str">
        <v>Dal</v>
      </c>
      <c r="AL14">
        <v>55</v>
      </c>
      <c r="AM14">
        <v>15</v>
      </c>
      <c r="AN14">
        <v>825</v>
      </c>
      <c r="AO14" t="str">
        <v>Cash</v>
      </c>
    </row>
    <row r="15" spans="1:46" x14ac:dyDescent="0.3">
      <c r="A15" t="s">
        <v>63</v>
      </c>
      <c r="B15" s="7" t="s">
        <v>64</v>
      </c>
      <c r="C15" s="7" t="s">
        <v>42</v>
      </c>
      <c r="D15" s="7" t="s">
        <v>43</v>
      </c>
      <c r="E15" s="7" t="s">
        <v>48</v>
      </c>
      <c r="F15" s="7" t="s">
        <v>65</v>
      </c>
      <c r="G15" s="7">
        <v>250</v>
      </c>
      <c r="H15" s="7">
        <v>10</v>
      </c>
      <c r="I15" s="7">
        <f t="shared" si="0"/>
        <v>2500</v>
      </c>
      <c r="J15" s="7" t="s">
        <v>39</v>
      </c>
      <c r="K15" s="7">
        <v>4.5999999999999996</v>
      </c>
      <c r="AA15" t="str">
        <f t="shared" si="1"/>
        <v>high value</v>
      </c>
      <c r="AB15" t="str" cm="1">
        <f t="array" ref="AB15">_xlfn.IFS(I15&gt;=2000,"Excellent",I15&gt;=1000,"Good",I15&gt;=500,"Average",TRUE,"Low")</f>
        <v>Excellent</v>
      </c>
      <c r="AC15" t="str">
        <f t="shared" si="2"/>
        <v>top transaction</v>
      </c>
      <c r="AD15" t="str">
        <f t="shared" si="3"/>
        <v>display digital</v>
      </c>
      <c r="AE15" t="str">
        <f t="shared" si="4"/>
        <v>Eligible</v>
      </c>
      <c r="AF15" t="str">
        <v>INV1042</v>
      </c>
      <c r="AG15" t="str">
        <v>2026-02-11</v>
      </c>
      <c r="AH15" t="str">
        <v>Hyderabad</v>
      </c>
      <c r="AI15" t="str">
        <v>A</v>
      </c>
      <c r="AJ15" t="str">
        <v>Dairy</v>
      </c>
      <c r="AK15" t="str">
        <v>Paneer</v>
      </c>
      <c r="AL15">
        <v>260</v>
      </c>
      <c r="AM15">
        <v>18</v>
      </c>
      <c r="AN15">
        <v>4680</v>
      </c>
      <c r="AO15" t="str">
        <v>Cash</v>
      </c>
    </row>
    <row r="16" spans="1:46" x14ac:dyDescent="0.3">
      <c r="A16" t="s">
        <v>66</v>
      </c>
      <c r="B16" s="7" t="s">
        <v>67</v>
      </c>
      <c r="C16" s="7" t="s">
        <v>54</v>
      </c>
      <c r="D16" s="7" t="s">
        <v>55</v>
      </c>
      <c r="E16" s="7" t="s">
        <v>44</v>
      </c>
      <c r="F16" s="7" t="s">
        <v>68</v>
      </c>
      <c r="G16" s="7">
        <v>50</v>
      </c>
      <c r="H16" s="7">
        <v>18</v>
      </c>
      <c r="I16" s="7">
        <f t="shared" si="0"/>
        <v>900</v>
      </c>
      <c r="J16" s="7" t="s">
        <v>29</v>
      </c>
      <c r="K16" s="7">
        <v>4.0999999999999996</v>
      </c>
      <c r="AA16" t="str">
        <f t="shared" si="1"/>
        <v>low scale</v>
      </c>
      <c r="AB16" t="str" cm="1">
        <f t="array" ref="AB16">_xlfn.IFS(I16&gt;=2000,"Excellent",I16&gt;=1000,"Good",I16&gt;=500,"Average",TRUE,"Low")</f>
        <v>Average</v>
      </c>
      <c r="AC16" t="str">
        <f t="shared" si="2"/>
        <v>normal</v>
      </c>
      <c r="AD16" t="str">
        <f t="shared" si="3"/>
        <v>card</v>
      </c>
      <c r="AE16" t="str">
        <f t="shared" si="4"/>
        <v>Not Eligible</v>
      </c>
      <c r="AF16" t="str">
        <v>INV1045</v>
      </c>
      <c r="AG16" t="str">
        <v>2026-02-14</v>
      </c>
      <c r="AH16" t="str">
        <v>Hyderabad</v>
      </c>
      <c r="AI16" t="str">
        <v>A</v>
      </c>
      <c r="AJ16" t="str">
        <v>Groceries</v>
      </c>
      <c r="AK16" t="str">
        <v>Oil</v>
      </c>
      <c r="AL16">
        <v>60</v>
      </c>
      <c r="AM16">
        <v>18</v>
      </c>
      <c r="AN16">
        <v>1080</v>
      </c>
      <c r="AO16" t="str">
        <v>Cash</v>
      </c>
    </row>
    <row r="17" spans="1:41" x14ac:dyDescent="0.3">
      <c r="A17" t="s">
        <v>69</v>
      </c>
      <c r="B17" s="7" t="s">
        <v>70</v>
      </c>
      <c r="C17" s="7" t="s">
        <v>12</v>
      </c>
      <c r="D17" s="7" t="s">
        <v>13</v>
      </c>
      <c r="E17" s="7" t="s">
        <v>14</v>
      </c>
      <c r="F17" s="7" t="s">
        <v>28</v>
      </c>
      <c r="G17" s="7">
        <v>55</v>
      </c>
      <c r="H17" s="7">
        <v>23</v>
      </c>
      <c r="I17" s="7">
        <f t="shared" si="0"/>
        <v>1265</v>
      </c>
      <c r="J17" s="7" t="s">
        <v>29</v>
      </c>
      <c r="K17" s="7">
        <v>4.5999999999999996</v>
      </c>
      <c r="AA17" t="str">
        <f t="shared" si="1"/>
        <v>high value</v>
      </c>
      <c r="AB17" t="str" cm="1">
        <f t="array" ref="AB17">_xlfn.IFS(I17&gt;=2000,"Excellent",I17&gt;=1000,"Good",I17&gt;=500,"Average",TRUE,"Low")</f>
        <v>Good</v>
      </c>
      <c r="AC17" t="str">
        <f t="shared" si="2"/>
        <v>top transaction</v>
      </c>
      <c r="AD17" t="str">
        <f t="shared" si="3"/>
        <v>card</v>
      </c>
      <c r="AE17" t="str">
        <f t="shared" si="4"/>
        <v>Not Eligible</v>
      </c>
      <c r="AF17" t="str">
        <v>INV1048</v>
      </c>
      <c r="AG17" t="str">
        <v>2026-02-17</v>
      </c>
      <c r="AH17" t="str">
        <v>Hyderabad</v>
      </c>
      <c r="AI17" t="str">
        <v>A</v>
      </c>
      <c r="AJ17" t="str">
        <v>Beverages</v>
      </c>
      <c r="AK17" t="str">
        <v>Juice</v>
      </c>
      <c r="AL17">
        <v>48</v>
      </c>
      <c r="AM17">
        <v>5</v>
      </c>
      <c r="AN17">
        <v>240</v>
      </c>
      <c r="AO17" t="str">
        <v>Card</v>
      </c>
    </row>
    <row r="18" spans="1:41" x14ac:dyDescent="0.3">
      <c r="A18" t="s">
        <v>71</v>
      </c>
      <c r="B18" s="7" t="s">
        <v>72</v>
      </c>
      <c r="C18" s="7" t="s">
        <v>54</v>
      </c>
      <c r="D18" s="7" t="s">
        <v>55</v>
      </c>
      <c r="E18" s="7" t="s">
        <v>73</v>
      </c>
      <c r="F18" s="7" t="s">
        <v>74</v>
      </c>
      <c r="G18" s="7">
        <v>150</v>
      </c>
      <c r="H18" s="7">
        <v>18</v>
      </c>
      <c r="I18" s="7">
        <f t="shared" si="0"/>
        <v>2700</v>
      </c>
      <c r="J18" s="7" t="s">
        <v>29</v>
      </c>
      <c r="K18" s="7">
        <v>5</v>
      </c>
      <c r="AA18" t="str">
        <f t="shared" si="1"/>
        <v>high value</v>
      </c>
      <c r="AB18" t="str" cm="1">
        <f t="array" ref="AB18">_xlfn.IFS(I18&gt;=2000,"Excellent",I18&gt;=1000,"Good",I18&gt;=500,"Average",TRUE,"Low")</f>
        <v>Excellent</v>
      </c>
      <c r="AC18" t="str">
        <f t="shared" si="2"/>
        <v>top transaction</v>
      </c>
      <c r="AD18" t="str">
        <f t="shared" si="3"/>
        <v>card</v>
      </c>
      <c r="AE18" t="str">
        <f t="shared" si="4"/>
        <v>Not Eligible</v>
      </c>
      <c r="AF18" t="str">
        <v>INV1058</v>
      </c>
      <c r="AG18" t="str">
        <v>2026-02-27</v>
      </c>
      <c r="AH18" t="str">
        <v>Hyderabad</v>
      </c>
      <c r="AI18" t="str">
        <v>A</v>
      </c>
      <c r="AJ18" t="str">
        <v>Dairy</v>
      </c>
      <c r="AK18" t="str">
        <v>Curd</v>
      </c>
      <c r="AL18">
        <v>60</v>
      </c>
      <c r="AM18">
        <v>16</v>
      </c>
      <c r="AN18">
        <v>960</v>
      </c>
      <c r="AO18" t="str">
        <v>Cash</v>
      </c>
    </row>
    <row r="19" spans="1:41" x14ac:dyDescent="0.3">
      <c r="A19" t="s">
        <v>75</v>
      </c>
      <c r="B19" s="7" t="s">
        <v>76</v>
      </c>
      <c r="C19" s="7" t="s">
        <v>12</v>
      </c>
      <c r="D19" s="7" t="s">
        <v>13</v>
      </c>
      <c r="E19" s="7" t="s">
        <v>14</v>
      </c>
      <c r="F19" s="7" t="s">
        <v>77</v>
      </c>
      <c r="G19" s="7">
        <v>80</v>
      </c>
      <c r="H19" s="7">
        <v>22</v>
      </c>
      <c r="I19" s="7">
        <f t="shared" si="0"/>
        <v>1760</v>
      </c>
      <c r="J19" s="7" t="s">
        <v>29</v>
      </c>
      <c r="K19" s="7">
        <v>4.0999999999999996</v>
      </c>
      <c r="AA19" t="str">
        <f t="shared" si="1"/>
        <v>high value</v>
      </c>
      <c r="AB19" t="str" cm="1">
        <f t="array" ref="AB19">_xlfn.IFS(I19&gt;=2000,"Excellent",I19&gt;=1000,"Good",I19&gt;=500,"Average",TRUE,"Low")</f>
        <v>Good</v>
      </c>
      <c r="AC19" t="str">
        <f t="shared" si="2"/>
        <v>normal</v>
      </c>
      <c r="AD19" t="str">
        <f t="shared" si="3"/>
        <v>card</v>
      </c>
      <c r="AE19" t="str">
        <f t="shared" si="4"/>
        <v>Not Eligible</v>
      </c>
      <c r="AF19" t="str">
        <v>INV1060</v>
      </c>
      <c r="AG19" t="str">
        <v>2026-03-01</v>
      </c>
      <c r="AH19" t="str">
        <v>Hyderabad</v>
      </c>
      <c r="AI19" t="str">
        <v>A</v>
      </c>
      <c r="AJ19" t="str">
        <v>Snacks</v>
      </c>
      <c r="AK19" t="str">
        <v>Cookies</v>
      </c>
      <c r="AL19">
        <v>220</v>
      </c>
      <c r="AM19">
        <v>14</v>
      </c>
      <c r="AN19">
        <v>3080</v>
      </c>
      <c r="AO19" t="str">
        <v>Card</v>
      </c>
    </row>
    <row r="20" spans="1:41" x14ac:dyDescent="0.3">
      <c r="A20" t="s">
        <v>78</v>
      </c>
      <c r="B20" s="7" t="s">
        <v>79</v>
      </c>
      <c r="C20" s="7" t="s">
        <v>54</v>
      </c>
      <c r="D20" s="7" t="s">
        <v>55</v>
      </c>
      <c r="E20" s="7" t="s">
        <v>48</v>
      </c>
      <c r="F20" s="7" t="s">
        <v>62</v>
      </c>
      <c r="G20" s="7">
        <v>30</v>
      </c>
      <c r="H20" s="7">
        <v>25</v>
      </c>
      <c r="I20" s="7">
        <f t="shared" si="0"/>
        <v>750</v>
      </c>
      <c r="J20" s="7" t="s">
        <v>39</v>
      </c>
      <c r="K20" s="7">
        <v>4.3</v>
      </c>
      <c r="AA20" t="str">
        <f t="shared" si="1"/>
        <v>low scale</v>
      </c>
      <c r="AB20" t="str" cm="1">
        <f t="array" ref="AB20">_xlfn.IFS(I20&gt;=2000,"Excellent",I20&gt;=1000,"Good",I20&gt;=500,"Average",TRUE,"Low")</f>
        <v>Average</v>
      </c>
      <c r="AC20" t="str">
        <f t="shared" si="2"/>
        <v>normal</v>
      </c>
      <c r="AD20" t="str">
        <f t="shared" si="3"/>
        <v>display digital</v>
      </c>
      <c r="AE20" t="str">
        <f t="shared" si="4"/>
        <v>Not Eligible</v>
      </c>
      <c r="AF20" t="str">
        <v>INV1064</v>
      </c>
      <c r="AG20" t="str">
        <v>2026-03-05</v>
      </c>
      <c r="AH20" t="str">
        <v>Hyderabad</v>
      </c>
      <c r="AI20" t="str">
        <v>A</v>
      </c>
      <c r="AJ20" t="str">
        <v>Dairy</v>
      </c>
      <c r="AK20" t="str">
        <v>Milk</v>
      </c>
      <c r="AL20">
        <v>220</v>
      </c>
      <c r="AM20">
        <v>19</v>
      </c>
      <c r="AN20">
        <v>4180</v>
      </c>
      <c r="AO20" t="str">
        <v>Card</v>
      </c>
    </row>
    <row r="21" spans="1:41" x14ac:dyDescent="0.3">
      <c r="A21" t="s">
        <v>80</v>
      </c>
      <c r="B21" s="7" t="s">
        <v>81</v>
      </c>
      <c r="C21" s="7" t="s">
        <v>42</v>
      </c>
      <c r="D21" s="7" t="s">
        <v>43</v>
      </c>
      <c r="E21" s="7" t="s">
        <v>19</v>
      </c>
      <c r="F21" s="7" t="s">
        <v>82</v>
      </c>
      <c r="G21" s="7">
        <v>90</v>
      </c>
      <c r="H21" s="7">
        <v>22</v>
      </c>
      <c r="I21" s="7">
        <f t="shared" si="0"/>
        <v>1980</v>
      </c>
      <c r="J21" s="7" t="s">
        <v>39</v>
      </c>
      <c r="K21" s="7">
        <v>4.5999999999999996</v>
      </c>
      <c r="AA21" t="str">
        <f t="shared" si="1"/>
        <v>high value</v>
      </c>
      <c r="AB21" t="str" cm="1">
        <f t="array" ref="AB21">_xlfn.IFS(I21&gt;=2000,"Excellent",I21&gt;=1000,"Good",I21&gt;=500,"Average",TRUE,"Low")</f>
        <v>Good</v>
      </c>
      <c r="AC21" t="str">
        <f t="shared" si="2"/>
        <v>top transaction</v>
      </c>
      <c r="AD21" t="str">
        <f t="shared" si="3"/>
        <v>display digital</v>
      </c>
      <c r="AE21" t="str">
        <f t="shared" si="4"/>
        <v>Eligible</v>
      </c>
      <c r="AF21" t="str">
        <v>INV1066</v>
      </c>
      <c r="AG21" t="str">
        <v>2026-03-07</v>
      </c>
      <c r="AH21" t="str">
        <v>Hyderabad</v>
      </c>
      <c r="AI21" t="str">
        <v>A</v>
      </c>
      <c r="AJ21" t="str">
        <v>Snacks</v>
      </c>
      <c r="AK21" t="str">
        <v>Popcorn</v>
      </c>
      <c r="AL21">
        <v>90</v>
      </c>
      <c r="AM21">
        <v>23</v>
      </c>
      <c r="AN21">
        <v>2070</v>
      </c>
      <c r="AO21" t="str">
        <v>Cash</v>
      </c>
    </row>
    <row r="22" spans="1:41" x14ac:dyDescent="0.3">
      <c r="A22" t="s">
        <v>83</v>
      </c>
      <c r="B22" s="7" t="s">
        <v>84</v>
      </c>
      <c r="C22" s="7" t="s">
        <v>42</v>
      </c>
      <c r="D22" s="7" t="s">
        <v>43</v>
      </c>
      <c r="E22" s="7" t="s">
        <v>44</v>
      </c>
      <c r="F22" s="7" t="s">
        <v>68</v>
      </c>
      <c r="G22" s="7">
        <v>250</v>
      </c>
      <c r="H22" s="7">
        <v>18</v>
      </c>
      <c r="I22" s="7">
        <f t="shared" si="0"/>
        <v>4500</v>
      </c>
      <c r="J22" s="7" t="s">
        <v>16</v>
      </c>
      <c r="K22" s="7">
        <v>4.5999999999999996</v>
      </c>
      <c r="AA22" t="str">
        <f t="shared" si="1"/>
        <v>high value</v>
      </c>
      <c r="AB22" t="str" cm="1">
        <f t="array" ref="AB22">_xlfn.IFS(I22&gt;=2000,"Excellent",I22&gt;=1000,"Good",I22&gt;=500,"Average",TRUE,"Low")</f>
        <v>Excellent</v>
      </c>
      <c r="AC22" t="str">
        <f t="shared" si="2"/>
        <v>top transaction</v>
      </c>
      <c r="AD22" t="str">
        <f t="shared" si="3"/>
        <v>display digital</v>
      </c>
      <c r="AE22" t="str">
        <f t="shared" si="4"/>
        <v>Eligible</v>
      </c>
      <c r="AF22" t="str">
        <v>INV1072</v>
      </c>
      <c r="AG22" t="str">
        <v>2026-03-13</v>
      </c>
      <c r="AH22" t="str">
        <v>Hyderabad</v>
      </c>
      <c r="AI22" t="str">
        <v>A</v>
      </c>
      <c r="AJ22" t="str">
        <v>Beverages</v>
      </c>
      <c r="AK22" t="str">
        <v>Juice</v>
      </c>
      <c r="AL22">
        <v>70</v>
      </c>
      <c r="AM22">
        <v>8</v>
      </c>
      <c r="AN22">
        <v>560</v>
      </c>
      <c r="AO22" t="str">
        <v>UPI</v>
      </c>
    </row>
    <row r="23" spans="1:41" x14ac:dyDescent="0.3">
      <c r="A23" t="s">
        <v>85</v>
      </c>
      <c r="B23" s="7" t="s">
        <v>86</v>
      </c>
      <c r="C23" s="7" t="s">
        <v>54</v>
      </c>
      <c r="D23" s="7" t="s">
        <v>55</v>
      </c>
      <c r="E23" s="7" t="s">
        <v>14</v>
      </c>
      <c r="F23" s="7" t="s">
        <v>32</v>
      </c>
      <c r="G23" s="7">
        <v>110</v>
      </c>
      <c r="H23" s="7">
        <v>11</v>
      </c>
      <c r="I23" s="7">
        <f t="shared" si="0"/>
        <v>1210</v>
      </c>
      <c r="J23" s="7" t="s">
        <v>16</v>
      </c>
      <c r="K23" s="7">
        <v>4.0999999999999996</v>
      </c>
      <c r="AA23" t="str">
        <f t="shared" si="1"/>
        <v>high value</v>
      </c>
      <c r="AB23" t="str" cm="1">
        <f t="array" ref="AB23">_xlfn.IFS(I23&gt;=2000,"Excellent",I23&gt;=1000,"Good",I23&gt;=500,"Average",TRUE,"Low")</f>
        <v>Good</v>
      </c>
      <c r="AC23" t="str">
        <f t="shared" si="2"/>
        <v>normal</v>
      </c>
      <c r="AD23" t="str">
        <f t="shared" si="3"/>
        <v>display digital</v>
      </c>
      <c r="AE23" t="str">
        <f t="shared" si="4"/>
        <v>Eligible</v>
      </c>
      <c r="AF23" t="str">
        <v>INV1075</v>
      </c>
      <c r="AG23" t="str">
        <v>2026-03-16</v>
      </c>
      <c r="AH23" t="str">
        <v>Hyderabad</v>
      </c>
      <c r="AI23" t="str">
        <v>A</v>
      </c>
      <c r="AJ23" t="str">
        <v>Groceries</v>
      </c>
      <c r="AK23" t="str">
        <v>Wheat Flour</v>
      </c>
      <c r="AL23">
        <v>70</v>
      </c>
      <c r="AM23">
        <v>7</v>
      </c>
      <c r="AN23">
        <v>490</v>
      </c>
      <c r="AO23" t="str">
        <v>Card</v>
      </c>
    </row>
    <row r="24" spans="1:41" x14ac:dyDescent="0.3">
      <c r="A24" t="s">
        <v>87</v>
      </c>
      <c r="B24" s="7" t="s">
        <v>88</v>
      </c>
      <c r="C24" s="7" t="s">
        <v>12</v>
      </c>
      <c r="D24" s="7" t="s">
        <v>13</v>
      </c>
      <c r="E24" s="7" t="s">
        <v>14</v>
      </c>
      <c r="F24" s="7" t="s">
        <v>35</v>
      </c>
      <c r="G24" s="7">
        <v>40</v>
      </c>
      <c r="H24" s="7">
        <v>19</v>
      </c>
      <c r="I24" s="7">
        <f t="shared" si="0"/>
        <v>760</v>
      </c>
      <c r="J24" s="7" t="s">
        <v>16</v>
      </c>
      <c r="K24" s="7">
        <v>4.0999999999999996</v>
      </c>
      <c r="AA24" t="str">
        <f t="shared" si="1"/>
        <v>low scale</v>
      </c>
      <c r="AB24" t="str" cm="1">
        <f t="array" ref="AB24">_xlfn.IFS(I24&gt;=2000,"Excellent",I24&gt;=1000,"Good",I24&gt;=500,"Average",TRUE,"Low")</f>
        <v>Average</v>
      </c>
      <c r="AC24" t="str">
        <f t="shared" si="2"/>
        <v>normal</v>
      </c>
      <c r="AD24" t="str">
        <f t="shared" si="3"/>
        <v>display digital</v>
      </c>
      <c r="AE24" t="str">
        <f t="shared" si="4"/>
        <v>Not Eligible</v>
      </c>
      <c r="AF24" t="str">
        <v>INV1076</v>
      </c>
      <c r="AG24" t="str">
        <v>2026-03-17</v>
      </c>
      <c r="AH24" t="str">
        <v>Hyderabad</v>
      </c>
      <c r="AI24" t="str">
        <v>A</v>
      </c>
      <c r="AJ24" t="str">
        <v>Personal Care</v>
      </c>
      <c r="AK24" t="str">
        <v>Shampoo</v>
      </c>
      <c r="AL24">
        <v>48</v>
      </c>
      <c r="AM24">
        <v>16</v>
      </c>
      <c r="AN24">
        <v>768</v>
      </c>
      <c r="AO24" t="str">
        <v>UPI</v>
      </c>
    </row>
    <row r="25" spans="1:41" x14ac:dyDescent="0.3">
      <c r="A25" t="s">
        <v>89</v>
      </c>
      <c r="B25" s="7" t="s">
        <v>90</v>
      </c>
      <c r="C25" s="7" t="s">
        <v>54</v>
      </c>
      <c r="D25" s="7" t="s">
        <v>55</v>
      </c>
      <c r="E25" s="7" t="s">
        <v>19</v>
      </c>
      <c r="F25" s="7" t="s">
        <v>23</v>
      </c>
      <c r="G25" s="7">
        <v>80</v>
      </c>
      <c r="H25" s="7">
        <v>18</v>
      </c>
      <c r="I25" s="7">
        <f t="shared" si="0"/>
        <v>1440</v>
      </c>
      <c r="J25" s="7" t="s">
        <v>39</v>
      </c>
      <c r="K25" s="7">
        <v>4.4000000000000004</v>
      </c>
      <c r="AA25" t="str">
        <f t="shared" si="1"/>
        <v>high value</v>
      </c>
      <c r="AB25" t="str" cm="1">
        <f t="array" ref="AB25">_xlfn.IFS(I25&gt;=2000,"Excellent",I25&gt;=1000,"Good",I25&gt;=500,"Average",TRUE,"Low")</f>
        <v>Good</v>
      </c>
      <c r="AC25" t="str">
        <f t="shared" si="2"/>
        <v>normal</v>
      </c>
      <c r="AD25" t="str">
        <f t="shared" si="3"/>
        <v>display digital</v>
      </c>
      <c r="AE25" t="str">
        <f t="shared" si="4"/>
        <v>Eligible</v>
      </c>
      <c r="AF25" t="str">
        <v>INV1083</v>
      </c>
      <c r="AG25" t="str">
        <v>2026-03-24</v>
      </c>
      <c r="AH25" t="str">
        <v>Hyderabad</v>
      </c>
      <c r="AI25" t="str">
        <v>A</v>
      </c>
      <c r="AJ25" t="str">
        <v>Personal Care</v>
      </c>
      <c r="AK25" t="str">
        <v>Toothpaste</v>
      </c>
      <c r="AL25">
        <v>180</v>
      </c>
      <c r="AM25">
        <v>2</v>
      </c>
      <c r="AN25">
        <v>360</v>
      </c>
      <c r="AO25" t="str">
        <v>Cash</v>
      </c>
    </row>
    <row r="26" spans="1:41" x14ac:dyDescent="0.3">
      <c r="A26" t="s">
        <v>91</v>
      </c>
      <c r="B26" s="7" t="s">
        <v>92</v>
      </c>
      <c r="C26" s="7" t="s">
        <v>42</v>
      </c>
      <c r="D26" s="7" t="s">
        <v>43</v>
      </c>
      <c r="E26" s="7" t="s">
        <v>19</v>
      </c>
      <c r="F26" s="7" t="s">
        <v>23</v>
      </c>
      <c r="G26" s="7">
        <v>90</v>
      </c>
      <c r="H26" s="7">
        <v>14</v>
      </c>
      <c r="I26" s="7">
        <f t="shared" si="0"/>
        <v>1260</v>
      </c>
      <c r="J26" s="7" t="s">
        <v>39</v>
      </c>
      <c r="K26" s="7">
        <v>4.5999999999999996</v>
      </c>
      <c r="AA26" t="str">
        <f t="shared" si="1"/>
        <v>high value</v>
      </c>
      <c r="AB26" t="str" cm="1">
        <f t="array" ref="AB26">_xlfn.IFS(I26&gt;=2000,"Excellent",I26&gt;=1000,"Good",I26&gt;=500,"Average",TRUE,"Low")</f>
        <v>Good</v>
      </c>
      <c r="AC26" t="str">
        <f t="shared" si="2"/>
        <v>top transaction</v>
      </c>
      <c r="AD26" t="str">
        <f t="shared" si="3"/>
        <v>display digital</v>
      </c>
      <c r="AE26" t="str">
        <f t="shared" si="4"/>
        <v>Eligible</v>
      </c>
    </row>
    <row r="27" spans="1:41" x14ac:dyDescent="0.3">
      <c r="A27" t="s">
        <v>93</v>
      </c>
      <c r="B27" s="7" t="s">
        <v>94</v>
      </c>
      <c r="C27" s="7" t="s">
        <v>54</v>
      </c>
      <c r="D27" s="7" t="s">
        <v>55</v>
      </c>
      <c r="E27" s="7" t="s">
        <v>19</v>
      </c>
      <c r="F27" s="7" t="s">
        <v>20</v>
      </c>
      <c r="G27" s="7">
        <v>48</v>
      </c>
      <c r="H27" s="7">
        <v>9</v>
      </c>
      <c r="I27" s="7">
        <f t="shared" si="0"/>
        <v>432</v>
      </c>
      <c r="J27" s="7" t="s">
        <v>16</v>
      </c>
      <c r="K27" s="7">
        <v>4.0999999999999996</v>
      </c>
      <c r="AA27" t="str">
        <f t="shared" si="1"/>
        <v>low scale</v>
      </c>
      <c r="AB27" t="str" cm="1">
        <f t="array" ref="AB27">_xlfn.IFS(I27&gt;=2000,"Excellent",I27&gt;=1000,"Good",I27&gt;=500,"Average",TRUE,"Low")</f>
        <v>Low</v>
      </c>
      <c r="AC27" t="str">
        <f t="shared" si="2"/>
        <v>normal</v>
      </c>
      <c r="AD27" t="str">
        <f t="shared" si="3"/>
        <v>display digital</v>
      </c>
      <c r="AE27" t="str">
        <f t="shared" si="4"/>
        <v>Not Eligible</v>
      </c>
    </row>
    <row r="28" spans="1:41" x14ac:dyDescent="0.3">
      <c r="A28" t="s">
        <v>95</v>
      </c>
      <c r="B28" s="7" t="s">
        <v>96</v>
      </c>
      <c r="C28" s="7" t="s">
        <v>12</v>
      </c>
      <c r="D28" s="7" t="s">
        <v>13</v>
      </c>
      <c r="E28" s="7" t="s">
        <v>19</v>
      </c>
      <c r="F28" s="7" t="s">
        <v>97</v>
      </c>
      <c r="G28" s="7">
        <v>70</v>
      </c>
      <c r="H28" s="7">
        <v>20</v>
      </c>
      <c r="I28" s="7">
        <f t="shared" si="0"/>
        <v>1400</v>
      </c>
      <c r="J28" s="7" t="s">
        <v>16</v>
      </c>
      <c r="K28" s="7">
        <v>4</v>
      </c>
      <c r="AA28" t="str">
        <f t="shared" si="1"/>
        <v>high value</v>
      </c>
      <c r="AB28" t="str" cm="1">
        <f t="array" ref="AB28">_xlfn.IFS(I28&gt;=2000,"Excellent",I28&gt;=1000,"Good",I28&gt;=500,"Average",TRUE,"Low")</f>
        <v>Good</v>
      </c>
      <c r="AC28" t="str">
        <f t="shared" si="2"/>
        <v>normal</v>
      </c>
      <c r="AD28" t="str">
        <f t="shared" si="3"/>
        <v>display digital</v>
      </c>
      <c r="AE28" t="str">
        <f t="shared" si="4"/>
        <v>Eligible</v>
      </c>
    </row>
    <row r="29" spans="1:41" x14ac:dyDescent="0.3">
      <c r="A29" t="s">
        <v>98</v>
      </c>
      <c r="B29" s="7" t="s">
        <v>99</v>
      </c>
      <c r="C29" s="7" t="s">
        <v>12</v>
      </c>
      <c r="D29" s="7" t="s">
        <v>13</v>
      </c>
      <c r="E29" s="7" t="s">
        <v>48</v>
      </c>
      <c r="F29" s="7" t="s">
        <v>59</v>
      </c>
      <c r="G29" s="7">
        <v>35</v>
      </c>
      <c r="H29" s="7">
        <v>12</v>
      </c>
      <c r="I29" s="7">
        <f t="shared" si="0"/>
        <v>420</v>
      </c>
      <c r="J29" s="7" t="s">
        <v>16</v>
      </c>
      <c r="K29" s="7">
        <v>4.5</v>
      </c>
      <c r="AA29" t="str">
        <f t="shared" si="1"/>
        <v>low scale</v>
      </c>
      <c r="AB29" t="str" cm="1">
        <f t="array" ref="AB29">_xlfn.IFS(I29&gt;=2000,"Excellent",I29&gt;=1000,"Good",I29&gt;=500,"Average",TRUE,"Low")</f>
        <v>Low</v>
      </c>
      <c r="AC29" t="str">
        <f t="shared" si="2"/>
        <v>normal</v>
      </c>
      <c r="AD29" t="str">
        <f t="shared" si="3"/>
        <v>display digital</v>
      </c>
      <c r="AE29" t="str">
        <f t="shared" si="4"/>
        <v>Not Eligible</v>
      </c>
    </row>
    <row r="30" spans="1:41" x14ac:dyDescent="0.3">
      <c r="A30" t="s">
        <v>100</v>
      </c>
      <c r="B30" s="7" t="s">
        <v>101</v>
      </c>
      <c r="C30" s="7" t="s">
        <v>26</v>
      </c>
      <c r="D30" s="7" t="s">
        <v>27</v>
      </c>
      <c r="E30" s="7" t="s">
        <v>73</v>
      </c>
      <c r="F30" s="7" t="s">
        <v>102</v>
      </c>
      <c r="G30" s="7">
        <v>250</v>
      </c>
      <c r="H30" s="7">
        <v>6</v>
      </c>
      <c r="I30" s="7">
        <f t="shared" si="0"/>
        <v>1500</v>
      </c>
      <c r="J30" s="7" t="s">
        <v>39</v>
      </c>
      <c r="K30" s="7">
        <v>4.9000000000000004</v>
      </c>
      <c r="AA30" t="str">
        <f t="shared" si="1"/>
        <v>high value</v>
      </c>
      <c r="AB30" t="str" cm="1">
        <f t="array" ref="AB30">_xlfn.IFS(I30&gt;=2000,"Excellent",I30&gt;=1000,"Good",I30&gt;=500,"Average",TRUE,"Low")</f>
        <v>Good</v>
      </c>
      <c r="AC30" t="str">
        <f t="shared" si="2"/>
        <v>top transaction</v>
      </c>
      <c r="AD30" t="str">
        <f t="shared" si="3"/>
        <v>display digital</v>
      </c>
      <c r="AE30" t="str">
        <f t="shared" si="4"/>
        <v>Eligible</v>
      </c>
    </row>
    <row r="31" spans="1:41" x14ac:dyDescent="0.3">
      <c r="A31" t="s">
        <v>103</v>
      </c>
      <c r="B31" s="7" t="s">
        <v>104</v>
      </c>
      <c r="C31" s="7" t="s">
        <v>54</v>
      </c>
      <c r="D31" s="7" t="s">
        <v>55</v>
      </c>
      <c r="E31" s="7" t="s">
        <v>48</v>
      </c>
      <c r="F31" s="7" t="s">
        <v>62</v>
      </c>
      <c r="G31" s="7">
        <v>140</v>
      </c>
      <c r="H31" s="7">
        <v>8</v>
      </c>
      <c r="I31" s="7">
        <f t="shared" si="0"/>
        <v>1120</v>
      </c>
      <c r="J31" s="7" t="s">
        <v>16</v>
      </c>
      <c r="K31" s="7">
        <v>4.0999999999999996</v>
      </c>
      <c r="AA31" t="str">
        <f t="shared" si="1"/>
        <v>high value</v>
      </c>
      <c r="AB31" t="str" cm="1">
        <f t="array" ref="AB31">_xlfn.IFS(I31&gt;=2000,"Excellent",I31&gt;=1000,"Good",I31&gt;=500,"Average",TRUE,"Low")</f>
        <v>Good</v>
      </c>
      <c r="AC31" t="str">
        <f t="shared" si="2"/>
        <v>normal</v>
      </c>
      <c r="AD31" t="str">
        <f t="shared" si="3"/>
        <v>display digital</v>
      </c>
      <c r="AE31" t="str">
        <f t="shared" si="4"/>
        <v>Eligible</v>
      </c>
    </row>
    <row r="32" spans="1:41" x14ac:dyDescent="0.3">
      <c r="A32" t="s">
        <v>105</v>
      </c>
      <c r="B32" s="7" t="s">
        <v>106</v>
      </c>
      <c r="C32" s="7" t="s">
        <v>54</v>
      </c>
      <c r="D32" s="7" t="s">
        <v>55</v>
      </c>
      <c r="E32" s="7" t="s">
        <v>44</v>
      </c>
      <c r="F32" s="7" t="s">
        <v>107</v>
      </c>
      <c r="G32" s="7">
        <v>140</v>
      </c>
      <c r="H32" s="7">
        <v>16</v>
      </c>
      <c r="I32" s="7">
        <f t="shared" si="0"/>
        <v>2240</v>
      </c>
      <c r="J32" s="7" t="s">
        <v>39</v>
      </c>
      <c r="K32" s="7">
        <v>4.0999999999999996</v>
      </c>
      <c r="AA32" t="str">
        <f t="shared" si="1"/>
        <v>high value</v>
      </c>
      <c r="AB32" t="str" cm="1">
        <f t="array" ref="AB32">_xlfn.IFS(I32&gt;=2000,"Excellent",I32&gt;=1000,"Good",I32&gt;=500,"Average",TRUE,"Low")</f>
        <v>Excellent</v>
      </c>
      <c r="AC32" t="str">
        <f t="shared" si="2"/>
        <v>normal</v>
      </c>
      <c r="AD32" t="str">
        <f t="shared" si="3"/>
        <v>display digital</v>
      </c>
      <c r="AE32" t="str">
        <f t="shared" si="4"/>
        <v>Eligible</v>
      </c>
    </row>
    <row r="33" spans="1:31" x14ac:dyDescent="0.3">
      <c r="A33" t="s">
        <v>108</v>
      </c>
      <c r="B33" s="7" t="s">
        <v>109</v>
      </c>
      <c r="C33" s="7" t="s">
        <v>12</v>
      </c>
      <c r="D33" s="7" t="s">
        <v>13</v>
      </c>
      <c r="E33" s="7" t="s">
        <v>14</v>
      </c>
      <c r="F33" s="7" t="s">
        <v>35</v>
      </c>
      <c r="G33" s="7">
        <v>95</v>
      </c>
      <c r="H33" s="7">
        <v>5</v>
      </c>
      <c r="I33" s="7">
        <f t="shared" si="0"/>
        <v>475</v>
      </c>
      <c r="J33" s="7" t="s">
        <v>16</v>
      </c>
      <c r="K33" s="7">
        <v>4.2</v>
      </c>
      <c r="AA33" t="str">
        <f t="shared" si="1"/>
        <v>low scale</v>
      </c>
      <c r="AB33" t="str" cm="1">
        <f t="array" ref="AB33">_xlfn.IFS(I33&gt;=2000,"Excellent",I33&gt;=1000,"Good",I33&gt;=500,"Average",TRUE,"Low")</f>
        <v>Low</v>
      </c>
      <c r="AC33" t="str">
        <f t="shared" si="2"/>
        <v>normal</v>
      </c>
      <c r="AD33" t="str">
        <f t="shared" si="3"/>
        <v>display digital</v>
      </c>
      <c r="AE33" t="str">
        <f t="shared" si="4"/>
        <v>Not Eligible</v>
      </c>
    </row>
    <row r="34" spans="1:31" x14ac:dyDescent="0.3">
      <c r="A34" t="s">
        <v>110</v>
      </c>
      <c r="B34" s="7" t="s">
        <v>111</v>
      </c>
      <c r="C34" s="7" t="s">
        <v>54</v>
      </c>
      <c r="D34" s="7" t="s">
        <v>55</v>
      </c>
      <c r="E34" s="7" t="s">
        <v>48</v>
      </c>
      <c r="F34" s="7" t="s">
        <v>62</v>
      </c>
      <c r="G34" s="7">
        <v>55</v>
      </c>
      <c r="H34" s="7">
        <v>10</v>
      </c>
      <c r="I34" s="7">
        <f t="shared" ref="I34:I65" si="5">G34*H34</f>
        <v>550</v>
      </c>
      <c r="J34" s="7" t="s">
        <v>29</v>
      </c>
      <c r="K34" s="7">
        <v>4.2</v>
      </c>
      <c r="AA34" t="str">
        <f t="shared" si="1"/>
        <v>low scale</v>
      </c>
      <c r="AB34" t="str" cm="1">
        <f t="array" ref="AB34">_xlfn.IFS(I34&gt;=2000,"Excellent",I34&gt;=1000,"Good",I34&gt;=500,"Average",TRUE,"Low")</f>
        <v>Average</v>
      </c>
      <c r="AC34" t="str">
        <f t="shared" si="2"/>
        <v>normal</v>
      </c>
      <c r="AD34" t="str">
        <f t="shared" si="3"/>
        <v>card</v>
      </c>
      <c r="AE34" t="str">
        <f t="shared" si="4"/>
        <v>Not Eligible</v>
      </c>
    </row>
    <row r="35" spans="1:31" x14ac:dyDescent="0.3">
      <c r="A35" t="s">
        <v>112</v>
      </c>
      <c r="B35" s="7" t="s">
        <v>113</v>
      </c>
      <c r="C35" s="7" t="s">
        <v>12</v>
      </c>
      <c r="D35" s="7" t="s">
        <v>13</v>
      </c>
      <c r="E35" s="7" t="s">
        <v>73</v>
      </c>
      <c r="F35" s="7" t="s">
        <v>74</v>
      </c>
      <c r="G35" s="7">
        <v>48</v>
      </c>
      <c r="H35" s="7">
        <v>3</v>
      </c>
      <c r="I35" s="7">
        <f t="shared" si="5"/>
        <v>144</v>
      </c>
      <c r="J35" s="7" t="s">
        <v>39</v>
      </c>
      <c r="K35" s="7">
        <v>5</v>
      </c>
      <c r="AA35" t="str">
        <f t="shared" si="1"/>
        <v>low scale</v>
      </c>
      <c r="AB35" t="str" cm="1">
        <f t="array" ref="AB35">_xlfn.IFS(I35&gt;=2000,"Excellent",I35&gt;=1000,"Good",I35&gt;=500,"Average",TRUE,"Low")</f>
        <v>Low</v>
      </c>
      <c r="AC35" t="str">
        <f t="shared" si="2"/>
        <v>normal</v>
      </c>
      <c r="AD35" t="str">
        <f t="shared" si="3"/>
        <v>display digital</v>
      </c>
      <c r="AE35" t="str">
        <f t="shared" si="4"/>
        <v>Not Eligible</v>
      </c>
    </row>
    <row r="36" spans="1:31" x14ac:dyDescent="0.3">
      <c r="A36" t="s">
        <v>114</v>
      </c>
      <c r="B36" s="7" t="s">
        <v>115</v>
      </c>
      <c r="C36" s="7" t="s">
        <v>12</v>
      </c>
      <c r="D36" s="7" t="s">
        <v>13</v>
      </c>
      <c r="E36" s="7" t="s">
        <v>14</v>
      </c>
      <c r="F36" s="7" t="s">
        <v>28</v>
      </c>
      <c r="G36" s="7">
        <v>55</v>
      </c>
      <c r="H36" s="7">
        <v>15</v>
      </c>
      <c r="I36" s="7">
        <f t="shared" si="5"/>
        <v>825</v>
      </c>
      <c r="J36" s="7" t="s">
        <v>29</v>
      </c>
      <c r="K36" s="7">
        <v>4.5</v>
      </c>
      <c r="AA36" t="str">
        <f t="shared" si="1"/>
        <v>low scale</v>
      </c>
      <c r="AB36" t="str" cm="1">
        <f t="array" ref="AB36">_xlfn.IFS(I36&gt;=2000,"Excellent",I36&gt;=1000,"Good",I36&gt;=500,"Average",TRUE,"Low")</f>
        <v>Average</v>
      </c>
      <c r="AC36" t="str">
        <f t="shared" si="2"/>
        <v>normal</v>
      </c>
      <c r="AD36" t="str">
        <f t="shared" si="3"/>
        <v>card</v>
      </c>
      <c r="AE36" t="str">
        <f t="shared" si="4"/>
        <v>Not Eligible</v>
      </c>
    </row>
    <row r="37" spans="1:31" x14ac:dyDescent="0.3">
      <c r="A37" t="s">
        <v>116</v>
      </c>
      <c r="B37" s="7" t="s">
        <v>117</v>
      </c>
      <c r="C37" s="7" t="s">
        <v>54</v>
      </c>
      <c r="D37" s="7" t="s">
        <v>55</v>
      </c>
      <c r="E37" s="7" t="s">
        <v>14</v>
      </c>
      <c r="F37" s="7" t="s">
        <v>28</v>
      </c>
      <c r="G37" s="7">
        <v>120</v>
      </c>
      <c r="H37" s="7">
        <v>2</v>
      </c>
      <c r="I37" s="7">
        <f t="shared" si="5"/>
        <v>240</v>
      </c>
      <c r="J37" s="7" t="s">
        <v>29</v>
      </c>
      <c r="K37" s="7">
        <v>4.3</v>
      </c>
      <c r="AA37" t="str">
        <f t="shared" si="1"/>
        <v>low scale</v>
      </c>
      <c r="AB37" t="str" cm="1">
        <f t="array" ref="AB37">_xlfn.IFS(I37&gt;=2000,"Excellent",I37&gt;=1000,"Good",I37&gt;=500,"Average",TRUE,"Low")</f>
        <v>Low</v>
      </c>
      <c r="AC37" t="str">
        <f t="shared" si="2"/>
        <v>normal</v>
      </c>
      <c r="AD37" t="str">
        <f t="shared" si="3"/>
        <v>card</v>
      </c>
      <c r="AE37" t="str">
        <f t="shared" si="4"/>
        <v>Not Eligible</v>
      </c>
    </row>
    <row r="38" spans="1:31" x14ac:dyDescent="0.3">
      <c r="A38" t="s">
        <v>118</v>
      </c>
      <c r="B38" s="7" t="s">
        <v>119</v>
      </c>
      <c r="C38" s="7" t="s">
        <v>54</v>
      </c>
      <c r="D38" s="7" t="s">
        <v>55</v>
      </c>
      <c r="E38" s="7" t="s">
        <v>44</v>
      </c>
      <c r="F38" s="7" t="s">
        <v>107</v>
      </c>
      <c r="G38" s="7">
        <v>250</v>
      </c>
      <c r="H38" s="7">
        <v>23</v>
      </c>
      <c r="I38" s="7">
        <f t="shared" si="5"/>
        <v>5750</v>
      </c>
      <c r="J38" s="7" t="s">
        <v>39</v>
      </c>
      <c r="K38" s="7">
        <v>4.5</v>
      </c>
      <c r="AA38" t="str">
        <f t="shared" si="1"/>
        <v>high value</v>
      </c>
      <c r="AB38" t="str" cm="1">
        <f t="array" ref="AB38">_xlfn.IFS(I38&gt;=2000,"Excellent",I38&gt;=1000,"Good",I38&gt;=500,"Average",TRUE,"Low")</f>
        <v>Excellent</v>
      </c>
      <c r="AC38" t="str">
        <f t="shared" si="2"/>
        <v>top transaction</v>
      </c>
      <c r="AD38" t="str">
        <f t="shared" si="3"/>
        <v>display digital</v>
      </c>
      <c r="AE38" t="str">
        <f t="shared" si="4"/>
        <v>Eligible</v>
      </c>
    </row>
    <row r="39" spans="1:31" x14ac:dyDescent="0.3">
      <c r="A39" t="s">
        <v>120</v>
      </c>
      <c r="B39" s="7" t="s">
        <v>121</v>
      </c>
      <c r="C39" s="7" t="s">
        <v>42</v>
      </c>
      <c r="D39" s="7" t="s">
        <v>43</v>
      </c>
      <c r="E39" s="7" t="s">
        <v>44</v>
      </c>
      <c r="F39" s="7" t="s">
        <v>68</v>
      </c>
      <c r="G39" s="7">
        <v>35</v>
      </c>
      <c r="H39" s="7">
        <v>20</v>
      </c>
      <c r="I39" s="7">
        <f t="shared" si="5"/>
        <v>700</v>
      </c>
      <c r="J39" s="7" t="s">
        <v>39</v>
      </c>
      <c r="K39" s="7">
        <v>4.5</v>
      </c>
      <c r="AA39" t="str">
        <f t="shared" si="1"/>
        <v>low scale</v>
      </c>
      <c r="AB39" t="str" cm="1">
        <f t="array" ref="AB39">_xlfn.IFS(I39&gt;=2000,"Excellent",I39&gt;=1000,"Good",I39&gt;=500,"Average",TRUE,"Low")</f>
        <v>Average</v>
      </c>
      <c r="AC39" t="str">
        <f t="shared" si="2"/>
        <v>normal</v>
      </c>
      <c r="AD39" t="str">
        <f t="shared" si="3"/>
        <v>display digital</v>
      </c>
      <c r="AE39" t="str">
        <f t="shared" si="4"/>
        <v>Not Eligible</v>
      </c>
    </row>
    <row r="40" spans="1:31" x14ac:dyDescent="0.3">
      <c r="A40" t="s">
        <v>122</v>
      </c>
      <c r="B40" s="7" t="s">
        <v>123</v>
      </c>
      <c r="C40" s="7" t="s">
        <v>26</v>
      </c>
      <c r="D40" s="7" t="s">
        <v>27</v>
      </c>
      <c r="E40" s="7" t="s">
        <v>14</v>
      </c>
      <c r="F40" s="7" t="s">
        <v>32</v>
      </c>
      <c r="G40" s="7">
        <v>260</v>
      </c>
      <c r="H40" s="7">
        <v>17</v>
      </c>
      <c r="I40" s="7">
        <f t="shared" si="5"/>
        <v>4420</v>
      </c>
      <c r="J40" s="7" t="s">
        <v>39</v>
      </c>
      <c r="K40" s="7">
        <v>4.9000000000000004</v>
      </c>
      <c r="AA40" t="str">
        <f t="shared" si="1"/>
        <v>high value</v>
      </c>
      <c r="AB40" t="str" cm="1">
        <f t="array" ref="AB40">_xlfn.IFS(I40&gt;=2000,"Excellent",I40&gt;=1000,"Good",I40&gt;=500,"Average",TRUE,"Low")</f>
        <v>Excellent</v>
      </c>
      <c r="AC40" t="str">
        <f t="shared" si="2"/>
        <v>top transaction</v>
      </c>
      <c r="AD40" t="str">
        <f t="shared" si="3"/>
        <v>display digital</v>
      </c>
      <c r="AE40" t="str">
        <f t="shared" si="4"/>
        <v>Eligible</v>
      </c>
    </row>
    <row r="41" spans="1:31" x14ac:dyDescent="0.3">
      <c r="A41" t="s">
        <v>124</v>
      </c>
      <c r="B41" s="7" t="s">
        <v>125</v>
      </c>
      <c r="C41" s="7" t="s">
        <v>42</v>
      </c>
      <c r="D41" s="7" t="s">
        <v>43</v>
      </c>
      <c r="E41" s="7" t="s">
        <v>14</v>
      </c>
      <c r="F41" s="7" t="s">
        <v>77</v>
      </c>
      <c r="G41" s="7">
        <v>40</v>
      </c>
      <c r="H41" s="7">
        <v>7</v>
      </c>
      <c r="I41" s="7">
        <f t="shared" si="5"/>
        <v>280</v>
      </c>
      <c r="J41" s="7" t="s">
        <v>16</v>
      </c>
      <c r="K41" s="7">
        <v>4.5999999999999996</v>
      </c>
      <c r="AA41" t="str">
        <f t="shared" si="1"/>
        <v>low scale</v>
      </c>
      <c r="AB41" t="str" cm="1">
        <f t="array" ref="AB41">_xlfn.IFS(I41&gt;=2000,"Excellent",I41&gt;=1000,"Good",I41&gt;=500,"Average",TRUE,"Low")</f>
        <v>Low</v>
      </c>
      <c r="AC41" t="str">
        <f t="shared" si="2"/>
        <v>normal</v>
      </c>
      <c r="AD41" t="str">
        <f t="shared" si="3"/>
        <v>display digital</v>
      </c>
      <c r="AE41" t="str">
        <f t="shared" si="4"/>
        <v>Not Eligible</v>
      </c>
    </row>
    <row r="42" spans="1:31" x14ac:dyDescent="0.3">
      <c r="A42" t="s">
        <v>126</v>
      </c>
      <c r="B42" s="7" t="s">
        <v>127</v>
      </c>
      <c r="C42" s="7" t="s">
        <v>42</v>
      </c>
      <c r="D42" s="7" t="s">
        <v>43</v>
      </c>
      <c r="E42" s="7" t="s">
        <v>73</v>
      </c>
      <c r="F42" s="7" t="s">
        <v>128</v>
      </c>
      <c r="G42" s="7">
        <v>260</v>
      </c>
      <c r="H42" s="7">
        <v>9</v>
      </c>
      <c r="I42" s="7">
        <f t="shared" si="5"/>
        <v>2340</v>
      </c>
      <c r="J42" s="7" t="s">
        <v>39</v>
      </c>
      <c r="K42" s="7">
        <v>4.5999999999999996</v>
      </c>
      <c r="AA42" t="str">
        <f t="shared" si="1"/>
        <v>high value</v>
      </c>
      <c r="AB42" t="str" cm="1">
        <f t="array" ref="AB42">_xlfn.IFS(I42&gt;=2000,"Excellent",I42&gt;=1000,"Good",I42&gt;=500,"Average",TRUE,"Low")</f>
        <v>Excellent</v>
      </c>
      <c r="AC42" t="str">
        <f t="shared" si="2"/>
        <v>top transaction</v>
      </c>
      <c r="AD42" t="str">
        <f t="shared" si="3"/>
        <v>display digital</v>
      </c>
      <c r="AE42" t="str">
        <f t="shared" si="4"/>
        <v>Eligible</v>
      </c>
    </row>
    <row r="43" spans="1:31" x14ac:dyDescent="0.3">
      <c r="A43" t="s">
        <v>129</v>
      </c>
      <c r="B43" s="7" t="s">
        <v>130</v>
      </c>
      <c r="C43" s="7" t="s">
        <v>12</v>
      </c>
      <c r="D43" s="7" t="s">
        <v>13</v>
      </c>
      <c r="E43" s="7" t="s">
        <v>73</v>
      </c>
      <c r="F43" s="7" t="s">
        <v>74</v>
      </c>
      <c r="G43" s="7">
        <v>260</v>
      </c>
      <c r="H43" s="7">
        <v>18</v>
      </c>
      <c r="I43" s="7">
        <f t="shared" si="5"/>
        <v>4680</v>
      </c>
      <c r="J43" s="7" t="s">
        <v>29</v>
      </c>
      <c r="K43" s="7">
        <v>4.9000000000000004</v>
      </c>
      <c r="AA43" t="str">
        <f t="shared" si="1"/>
        <v>high value</v>
      </c>
      <c r="AB43" t="str" cm="1">
        <f t="array" ref="AB43">_xlfn.IFS(I43&gt;=2000,"Excellent",I43&gt;=1000,"Good",I43&gt;=500,"Average",TRUE,"Low")</f>
        <v>Excellent</v>
      </c>
      <c r="AC43" t="str">
        <f t="shared" si="2"/>
        <v>top transaction</v>
      </c>
      <c r="AD43" t="str">
        <f t="shared" si="3"/>
        <v>card</v>
      </c>
      <c r="AE43" t="str">
        <f t="shared" si="4"/>
        <v>Not Eligible</v>
      </c>
    </row>
    <row r="44" spans="1:31" x14ac:dyDescent="0.3">
      <c r="A44" t="s">
        <v>131</v>
      </c>
      <c r="B44" s="7" t="s">
        <v>132</v>
      </c>
      <c r="C44" s="7" t="s">
        <v>42</v>
      </c>
      <c r="D44" s="7" t="s">
        <v>43</v>
      </c>
      <c r="E44" s="7" t="s">
        <v>44</v>
      </c>
      <c r="F44" s="7" t="s">
        <v>68</v>
      </c>
      <c r="G44" s="7">
        <v>80</v>
      </c>
      <c r="H44" s="7">
        <v>14</v>
      </c>
      <c r="I44" s="7">
        <f t="shared" si="5"/>
        <v>1120</v>
      </c>
      <c r="J44" s="7" t="s">
        <v>16</v>
      </c>
      <c r="K44" s="7">
        <v>4.7</v>
      </c>
      <c r="AA44" t="str">
        <f t="shared" si="1"/>
        <v>high value</v>
      </c>
      <c r="AB44" t="str" cm="1">
        <f t="array" ref="AB44">_xlfn.IFS(I44&gt;=2000,"Excellent",I44&gt;=1000,"Good",I44&gt;=500,"Average",TRUE,"Low")</f>
        <v>Good</v>
      </c>
      <c r="AC44" t="str">
        <f t="shared" si="2"/>
        <v>top transaction</v>
      </c>
      <c r="AD44" t="str">
        <f t="shared" si="3"/>
        <v>display digital</v>
      </c>
      <c r="AE44" t="str">
        <f t="shared" si="4"/>
        <v>Eligible</v>
      </c>
    </row>
    <row r="45" spans="1:31" x14ac:dyDescent="0.3">
      <c r="A45" t="s">
        <v>133</v>
      </c>
      <c r="B45" s="7" t="s">
        <v>134</v>
      </c>
      <c r="C45" s="7" t="s">
        <v>26</v>
      </c>
      <c r="D45" s="7" t="s">
        <v>27</v>
      </c>
      <c r="E45" s="7" t="s">
        <v>73</v>
      </c>
      <c r="F45" s="7" t="s">
        <v>135</v>
      </c>
      <c r="G45" s="7">
        <v>40</v>
      </c>
      <c r="H45" s="7">
        <v>2</v>
      </c>
      <c r="I45" s="7">
        <f t="shared" si="5"/>
        <v>80</v>
      </c>
      <c r="J45" s="7" t="s">
        <v>29</v>
      </c>
      <c r="K45" s="7">
        <v>4.5999999999999996</v>
      </c>
      <c r="AA45" t="str">
        <f t="shared" si="1"/>
        <v>low scale</v>
      </c>
      <c r="AB45" t="str" cm="1">
        <f t="array" ref="AB45">_xlfn.IFS(I45&gt;=2000,"Excellent",I45&gt;=1000,"Good",I45&gt;=500,"Average",TRUE,"Low")</f>
        <v>Low</v>
      </c>
      <c r="AC45" t="str">
        <f t="shared" si="2"/>
        <v>normal</v>
      </c>
      <c r="AD45" t="str">
        <f t="shared" si="3"/>
        <v>card</v>
      </c>
      <c r="AE45" t="str">
        <f t="shared" si="4"/>
        <v>Not Eligible</v>
      </c>
    </row>
    <row r="46" spans="1:31" x14ac:dyDescent="0.3">
      <c r="A46" t="s">
        <v>136</v>
      </c>
      <c r="B46" s="7" t="s">
        <v>137</v>
      </c>
      <c r="C46" s="7" t="s">
        <v>12</v>
      </c>
      <c r="D46" s="7" t="s">
        <v>13</v>
      </c>
      <c r="E46" s="7" t="s">
        <v>14</v>
      </c>
      <c r="F46" s="7" t="s">
        <v>77</v>
      </c>
      <c r="G46" s="7">
        <v>60</v>
      </c>
      <c r="H46" s="7">
        <v>18</v>
      </c>
      <c r="I46" s="7">
        <f t="shared" si="5"/>
        <v>1080</v>
      </c>
      <c r="J46" s="7" t="s">
        <v>29</v>
      </c>
      <c r="K46" s="7">
        <v>4.0999999999999996</v>
      </c>
      <c r="AA46" t="str">
        <f t="shared" si="1"/>
        <v>high value</v>
      </c>
      <c r="AB46" t="str" cm="1">
        <f t="array" ref="AB46">_xlfn.IFS(I46&gt;=2000,"Excellent",I46&gt;=1000,"Good",I46&gt;=500,"Average",TRUE,"Low")</f>
        <v>Good</v>
      </c>
      <c r="AC46" t="str">
        <f t="shared" si="2"/>
        <v>normal</v>
      </c>
      <c r="AD46" t="str">
        <f t="shared" si="3"/>
        <v>card</v>
      </c>
      <c r="AE46" t="str">
        <f t="shared" si="4"/>
        <v>Not Eligible</v>
      </c>
    </row>
    <row r="47" spans="1:31" x14ac:dyDescent="0.3">
      <c r="A47" t="s">
        <v>138</v>
      </c>
      <c r="B47" s="7" t="s">
        <v>139</v>
      </c>
      <c r="C47" s="7" t="s">
        <v>26</v>
      </c>
      <c r="D47" s="7" t="s">
        <v>27</v>
      </c>
      <c r="E47" s="7" t="s">
        <v>14</v>
      </c>
      <c r="F47" s="7" t="s">
        <v>28</v>
      </c>
      <c r="G47" s="7">
        <v>110</v>
      </c>
      <c r="H47" s="7">
        <v>11</v>
      </c>
      <c r="I47" s="7">
        <f t="shared" si="5"/>
        <v>1210</v>
      </c>
      <c r="J47" s="7" t="s">
        <v>16</v>
      </c>
      <c r="K47" s="7">
        <v>4.4000000000000004</v>
      </c>
      <c r="AA47" t="str">
        <f t="shared" si="1"/>
        <v>high value</v>
      </c>
      <c r="AB47" t="str" cm="1">
        <f t="array" ref="AB47">_xlfn.IFS(I47&gt;=2000,"Excellent",I47&gt;=1000,"Good",I47&gt;=500,"Average",TRUE,"Low")</f>
        <v>Good</v>
      </c>
      <c r="AC47" t="str">
        <f t="shared" si="2"/>
        <v>normal</v>
      </c>
      <c r="AD47" t="str">
        <f t="shared" si="3"/>
        <v>display digital</v>
      </c>
      <c r="AE47" t="str">
        <f t="shared" si="4"/>
        <v>Eligible</v>
      </c>
    </row>
    <row r="48" spans="1:31" x14ac:dyDescent="0.3">
      <c r="A48" t="s">
        <v>140</v>
      </c>
      <c r="B48" s="7" t="s">
        <v>141</v>
      </c>
      <c r="C48" s="7" t="s">
        <v>26</v>
      </c>
      <c r="D48" s="7" t="s">
        <v>27</v>
      </c>
      <c r="E48" s="7" t="s">
        <v>19</v>
      </c>
      <c r="F48" s="7" t="s">
        <v>97</v>
      </c>
      <c r="G48" s="7">
        <v>30</v>
      </c>
      <c r="H48" s="7">
        <v>23</v>
      </c>
      <c r="I48" s="7">
        <f t="shared" si="5"/>
        <v>690</v>
      </c>
      <c r="J48" s="7" t="s">
        <v>39</v>
      </c>
      <c r="K48" s="7">
        <v>4.3</v>
      </c>
      <c r="AA48" t="str">
        <f t="shared" si="1"/>
        <v>low scale</v>
      </c>
      <c r="AB48" t="str" cm="1">
        <f t="array" ref="AB48">_xlfn.IFS(I48&gt;=2000,"Excellent",I48&gt;=1000,"Good",I48&gt;=500,"Average",TRUE,"Low")</f>
        <v>Average</v>
      </c>
      <c r="AC48" t="str">
        <f t="shared" si="2"/>
        <v>normal</v>
      </c>
      <c r="AD48" t="str">
        <f t="shared" si="3"/>
        <v>display digital</v>
      </c>
      <c r="AE48" t="str">
        <f t="shared" si="4"/>
        <v>Not Eligible</v>
      </c>
    </row>
    <row r="49" spans="1:31" x14ac:dyDescent="0.3">
      <c r="A49" t="s">
        <v>142</v>
      </c>
      <c r="B49" s="7" t="s">
        <v>143</v>
      </c>
      <c r="C49" s="7" t="s">
        <v>12</v>
      </c>
      <c r="D49" s="7" t="s">
        <v>13</v>
      </c>
      <c r="E49" s="7" t="s">
        <v>48</v>
      </c>
      <c r="F49" s="7" t="s">
        <v>49</v>
      </c>
      <c r="G49" s="7">
        <v>48</v>
      </c>
      <c r="H49" s="7">
        <v>5</v>
      </c>
      <c r="I49" s="7">
        <f t="shared" si="5"/>
        <v>240</v>
      </c>
      <c r="J49" s="7" t="s">
        <v>39</v>
      </c>
      <c r="K49" s="7">
        <v>4.5999999999999996</v>
      </c>
      <c r="AA49" t="str">
        <f t="shared" si="1"/>
        <v>low scale</v>
      </c>
      <c r="AB49" t="str" cm="1">
        <f t="array" ref="AB49">_xlfn.IFS(I49&gt;=2000,"Excellent",I49&gt;=1000,"Good",I49&gt;=500,"Average",TRUE,"Low")</f>
        <v>Low</v>
      </c>
      <c r="AC49" t="str">
        <f t="shared" si="2"/>
        <v>normal</v>
      </c>
      <c r="AD49" t="str">
        <f t="shared" si="3"/>
        <v>display digital</v>
      </c>
      <c r="AE49" t="str">
        <f t="shared" si="4"/>
        <v>Not Eligible</v>
      </c>
    </row>
    <row r="50" spans="1:31" x14ac:dyDescent="0.3">
      <c r="A50" t="s">
        <v>144</v>
      </c>
      <c r="B50" s="7" t="s">
        <v>145</v>
      </c>
      <c r="C50" s="7" t="s">
        <v>26</v>
      </c>
      <c r="D50" s="7" t="s">
        <v>27</v>
      </c>
      <c r="E50" s="7" t="s">
        <v>44</v>
      </c>
      <c r="F50" s="7" t="s">
        <v>56</v>
      </c>
      <c r="G50" s="7">
        <v>60</v>
      </c>
      <c r="H50" s="7">
        <v>24</v>
      </c>
      <c r="I50" s="7">
        <f t="shared" si="5"/>
        <v>1440</v>
      </c>
      <c r="J50" s="7" t="s">
        <v>29</v>
      </c>
      <c r="K50" s="7">
        <v>4.2</v>
      </c>
      <c r="AA50" t="str">
        <f t="shared" si="1"/>
        <v>high value</v>
      </c>
      <c r="AB50" t="str" cm="1">
        <f t="array" ref="AB50">_xlfn.IFS(I50&gt;=2000,"Excellent",I50&gt;=1000,"Good",I50&gt;=500,"Average",TRUE,"Low")</f>
        <v>Good</v>
      </c>
      <c r="AC50" t="str">
        <f t="shared" si="2"/>
        <v>normal</v>
      </c>
      <c r="AD50" t="str">
        <f t="shared" si="3"/>
        <v>card</v>
      </c>
      <c r="AE50" t="str">
        <f t="shared" si="4"/>
        <v>Not Eligible</v>
      </c>
    </row>
    <row r="51" spans="1:31" x14ac:dyDescent="0.3">
      <c r="A51" t="s">
        <v>146</v>
      </c>
      <c r="B51" s="7" t="s">
        <v>147</v>
      </c>
      <c r="C51" s="7" t="s">
        <v>26</v>
      </c>
      <c r="D51" s="7" t="s">
        <v>27</v>
      </c>
      <c r="E51" s="7" t="s">
        <v>19</v>
      </c>
      <c r="F51" s="7" t="s">
        <v>20</v>
      </c>
      <c r="G51" s="7">
        <v>80</v>
      </c>
      <c r="H51" s="7">
        <v>3</v>
      </c>
      <c r="I51" s="7">
        <f t="shared" si="5"/>
        <v>240</v>
      </c>
      <c r="J51" s="7" t="s">
        <v>16</v>
      </c>
      <c r="K51" s="7">
        <v>4.5999999999999996</v>
      </c>
      <c r="AA51" t="str">
        <f t="shared" si="1"/>
        <v>low scale</v>
      </c>
      <c r="AB51" t="str" cm="1">
        <f t="array" ref="AB51">_xlfn.IFS(I51&gt;=2000,"Excellent",I51&gt;=1000,"Good",I51&gt;=500,"Average",TRUE,"Low")</f>
        <v>Low</v>
      </c>
      <c r="AC51" t="str">
        <f t="shared" si="2"/>
        <v>normal</v>
      </c>
      <c r="AD51" t="str">
        <f t="shared" si="3"/>
        <v>display digital</v>
      </c>
      <c r="AE51" t="str">
        <f t="shared" si="4"/>
        <v>Not Eligible</v>
      </c>
    </row>
    <row r="52" spans="1:31" x14ac:dyDescent="0.3">
      <c r="A52" t="s">
        <v>148</v>
      </c>
      <c r="B52" s="7" t="s">
        <v>149</v>
      </c>
      <c r="C52" s="7" t="s">
        <v>26</v>
      </c>
      <c r="D52" s="7" t="s">
        <v>27</v>
      </c>
      <c r="E52" s="7" t="s">
        <v>14</v>
      </c>
      <c r="F52" s="7" t="s">
        <v>32</v>
      </c>
      <c r="G52" s="7">
        <v>95</v>
      </c>
      <c r="H52" s="7">
        <v>6</v>
      </c>
      <c r="I52" s="7">
        <f t="shared" si="5"/>
        <v>570</v>
      </c>
      <c r="J52" s="7" t="s">
        <v>39</v>
      </c>
      <c r="K52" s="7">
        <v>5</v>
      </c>
      <c r="AA52" t="str">
        <f t="shared" si="1"/>
        <v>low scale</v>
      </c>
      <c r="AB52" t="str" cm="1">
        <f t="array" ref="AB52">_xlfn.IFS(I52&gt;=2000,"Excellent",I52&gt;=1000,"Good",I52&gt;=500,"Average",TRUE,"Low")</f>
        <v>Average</v>
      </c>
      <c r="AC52" t="str">
        <f t="shared" si="2"/>
        <v>normal</v>
      </c>
      <c r="AD52" t="str">
        <f t="shared" si="3"/>
        <v>display digital</v>
      </c>
      <c r="AE52" t="str">
        <f t="shared" si="4"/>
        <v>Not Eligible</v>
      </c>
    </row>
    <row r="53" spans="1:31" x14ac:dyDescent="0.3">
      <c r="A53" t="s">
        <v>150</v>
      </c>
      <c r="B53" s="7" t="s">
        <v>151</v>
      </c>
      <c r="C53" s="7" t="s">
        <v>42</v>
      </c>
      <c r="D53" s="7" t="s">
        <v>43</v>
      </c>
      <c r="E53" s="7" t="s">
        <v>73</v>
      </c>
      <c r="F53" s="7" t="s">
        <v>74</v>
      </c>
      <c r="G53" s="7">
        <v>140</v>
      </c>
      <c r="H53" s="7">
        <v>19</v>
      </c>
      <c r="I53" s="7">
        <f t="shared" si="5"/>
        <v>2660</v>
      </c>
      <c r="J53" s="7" t="s">
        <v>16</v>
      </c>
      <c r="K53" s="7">
        <v>4.0999999999999996</v>
      </c>
      <c r="AA53" t="str">
        <f t="shared" si="1"/>
        <v>high value</v>
      </c>
      <c r="AB53" t="str" cm="1">
        <f t="array" ref="AB53">_xlfn.IFS(I53&gt;=2000,"Excellent",I53&gt;=1000,"Good",I53&gt;=500,"Average",TRUE,"Low")</f>
        <v>Excellent</v>
      </c>
      <c r="AC53" t="str">
        <f t="shared" si="2"/>
        <v>normal</v>
      </c>
      <c r="AD53" t="str">
        <f t="shared" si="3"/>
        <v>display digital</v>
      </c>
      <c r="AE53" t="str">
        <f t="shared" si="4"/>
        <v>Eligible</v>
      </c>
    </row>
    <row r="54" spans="1:31" x14ac:dyDescent="0.3">
      <c r="A54" t="s">
        <v>152</v>
      </c>
      <c r="B54" s="7" t="s">
        <v>153</v>
      </c>
      <c r="C54" s="7" t="s">
        <v>42</v>
      </c>
      <c r="D54" s="7" t="s">
        <v>43</v>
      </c>
      <c r="E54" s="7" t="s">
        <v>19</v>
      </c>
      <c r="F54" s="7" t="s">
        <v>82</v>
      </c>
      <c r="G54" s="7">
        <v>110</v>
      </c>
      <c r="H54" s="7">
        <v>20</v>
      </c>
      <c r="I54" s="7">
        <f t="shared" si="5"/>
        <v>2200</v>
      </c>
      <c r="J54" s="7" t="s">
        <v>39</v>
      </c>
      <c r="K54" s="7">
        <v>4.0999999999999996</v>
      </c>
      <c r="AA54" t="str">
        <f t="shared" si="1"/>
        <v>high value</v>
      </c>
      <c r="AB54" t="str" cm="1">
        <f t="array" ref="AB54">_xlfn.IFS(I54&gt;=2000,"Excellent",I54&gt;=1000,"Good",I54&gt;=500,"Average",TRUE,"Low")</f>
        <v>Excellent</v>
      </c>
      <c r="AC54" t="str">
        <f t="shared" si="2"/>
        <v>normal</v>
      </c>
      <c r="AD54" t="str">
        <f t="shared" si="3"/>
        <v>display digital</v>
      </c>
      <c r="AE54" t="str">
        <f t="shared" si="4"/>
        <v>Eligible</v>
      </c>
    </row>
    <row r="55" spans="1:31" x14ac:dyDescent="0.3">
      <c r="A55" t="s">
        <v>154</v>
      </c>
      <c r="B55" s="7" t="s">
        <v>155</v>
      </c>
      <c r="C55" s="7" t="s">
        <v>42</v>
      </c>
      <c r="D55" s="7" t="s">
        <v>43</v>
      </c>
      <c r="E55" s="7" t="s">
        <v>14</v>
      </c>
      <c r="F55" s="7" t="s">
        <v>15</v>
      </c>
      <c r="G55" s="7">
        <v>110</v>
      </c>
      <c r="H55" s="7">
        <v>3</v>
      </c>
      <c r="I55" s="7">
        <f t="shared" si="5"/>
        <v>330</v>
      </c>
      <c r="J55" s="7" t="s">
        <v>29</v>
      </c>
      <c r="K55" s="7">
        <v>4.2</v>
      </c>
      <c r="AA55" t="str">
        <f t="shared" si="1"/>
        <v>low scale</v>
      </c>
      <c r="AB55" t="str" cm="1">
        <f t="array" ref="AB55">_xlfn.IFS(I55&gt;=2000,"Excellent",I55&gt;=1000,"Good",I55&gt;=500,"Average",TRUE,"Low")</f>
        <v>Low</v>
      </c>
      <c r="AC55" t="str">
        <f t="shared" si="2"/>
        <v>normal</v>
      </c>
      <c r="AD55" t="str">
        <f t="shared" si="3"/>
        <v>card</v>
      </c>
      <c r="AE55" t="str">
        <f t="shared" si="4"/>
        <v>Not Eligible</v>
      </c>
    </row>
    <row r="56" spans="1:31" x14ac:dyDescent="0.3">
      <c r="A56" t="s">
        <v>156</v>
      </c>
      <c r="B56" s="7" t="s">
        <v>157</v>
      </c>
      <c r="C56" s="7" t="s">
        <v>42</v>
      </c>
      <c r="D56" s="7" t="s">
        <v>43</v>
      </c>
      <c r="E56" s="7" t="s">
        <v>14</v>
      </c>
      <c r="F56" s="7" t="s">
        <v>15</v>
      </c>
      <c r="G56" s="7">
        <v>250</v>
      </c>
      <c r="H56" s="7">
        <v>15</v>
      </c>
      <c r="I56" s="7">
        <f t="shared" si="5"/>
        <v>3750</v>
      </c>
      <c r="J56" s="7" t="s">
        <v>39</v>
      </c>
      <c r="K56" s="7">
        <v>4.7</v>
      </c>
      <c r="AA56" t="str">
        <f t="shared" si="1"/>
        <v>high value</v>
      </c>
      <c r="AB56" t="str" cm="1">
        <f t="array" ref="AB56">_xlfn.IFS(I56&gt;=2000,"Excellent",I56&gt;=1000,"Good",I56&gt;=500,"Average",TRUE,"Low")</f>
        <v>Excellent</v>
      </c>
      <c r="AC56" t="str">
        <f t="shared" si="2"/>
        <v>top transaction</v>
      </c>
      <c r="AD56" t="str">
        <f t="shared" si="3"/>
        <v>display digital</v>
      </c>
      <c r="AE56" t="str">
        <f t="shared" si="4"/>
        <v>Eligible</v>
      </c>
    </row>
    <row r="57" spans="1:31" x14ac:dyDescent="0.3">
      <c r="A57" t="s">
        <v>158</v>
      </c>
      <c r="B57" s="7" t="s">
        <v>159</v>
      </c>
      <c r="C57" s="7" t="s">
        <v>42</v>
      </c>
      <c r="D57" s="7" t="s">
        <v>43</v>
      </c>
      <c r="E57" s="7" t="s">
        <v>48</v>
      </c>
      <c r="F57" s="7" t="s">
        <v>160</v>
      </c>
      <c r="G57" s="7">
        <v>140</v>
      </c>
      <c r="H57" s="7">
        <v>2</v>
      </c>
      <c r="I57" s="7">
        <f t="shared" si="5"/>
        <v>280</v>
      </c>
      <c r="J57" s="7" t="s">
        <v>16</v>
      </c>
      <c r="K57" s="7">
        <v>4.7</v>
      </c>
      <c r="AA57" t="str">
        <f t="shared" si="1"/>
        <v>low scale</v>
      </c>
      <c r="AB57" t="str" cm="1">
        <f t="array" ref="AB57">_xlfn.IFS(I57&gt;=2000,"Excellent",I57&gt;=1000,"Good",I57&gt;=500,"Average",TRUE,"Low")</f>
        <v>Low</v>
      </c>
      <c r="AC57" t="str">
        <f t="shared" si="2"/>
        <v>normal</v>
      </c>
      <c r="AD57" t="str">
        <f t="shared" si="3"/>
        <v>display digital</v>
      </c>
      <c r="AE57" t="str">
        <f t="shared" si="4"/>
        <v>Not Eligible</v>
      </c>
    </row>
    <row r="58" spans="1:31" x14ac:dyDescent="0.3">
      <c r="A58" t="s">
        <v>161</v>
      </c>
      <c r="B58" s="7" t="s">
        <v>162</v>
      </c>
      <c r="C58" s="7" t="s">
        <v>26</v>
      </c>
      <c r="D58" s="7" t="s">
        <v>27</v>
      </c>
      <c r="E58" s="7" t="s">
        <v>73</v>
      </c>
      <c r="F58" s="7" t="s">
        <v>102</v>
      </c>
      <c r="G58" s="7">
        <v>80</v>
      </c>
      <c r="H58" s="7">
        <v>7</v>
      </c>
      <c r="I58" s="7">
        <f t="shared" si="5"/>
        <v>560</v>
      </c>
      <c r="J58" s="7" t="s">
        <v>39</v>
      </c>
      <c r="K58" s="7">
        <v>4.0999999999999996</v>
      </c>
      <c r="AA58" t="str">
        <f t="shared" si="1"/>
        <v>low scale</v>
      </c>
      <c r="AB58" t="str" cm="1">
        <f t="array" ref="AB58">_xlfn.IFS(I58&gt;=2000,"Excellent",I58&gt;=1000,"Good",I58&gt;=500,"Average",TRUE,"Low")</f>
        <v>Average</v>
      </c>
      <c r="AC58" t="str">
        <f t="shared" si="2"/>
        <v>normal</v>
      </c>
      <c r="AD58" t="str">
        <f t="shared" si="3"/>
        <v>display digital</v>
      </c>
      <c r="AE58" t="str">
        <f t="shared" si="4"/>
        <v>Not Eligible</v>
      </c>
    </row>
    <row r="59" spans="1:31" x14ac:dyDescent="0.3">
      <c r="A59" t="s">
        <v>163</v>
      </c>
      <c r="B59" s="7" t="s">
        <v>164</v>
      </c>
      <c r="C59" s="7" t="s">
        <v>12</v>
      </c>
      <c r="D59" s="7" t="s">
        <v>13</v>
      </c>
      <c r="E59" s="7" t="s">
        <v>73</v>
      </c>
      <c r="F59" s="7" t="s">
        <v>102</v>
      </c>
      <c r="G59" s="7">
        <v>60</v>
      </c>
      <c r="H59" s="7">
        <v>16</v>
      </c>
      <c r="I59" s="7">
        <f t="shared" si="5"/>
        <v>960</v>
      </c>
      <c r="J59" s="7" t="s">
        <v>29</v>
      </c>
      <c r="K59" s="7">
        <v>4.3</v>
      </c>
      <c r="AA59" t="str">
        <f t="shared" si="1"/>
        <v>low scale</v>
      </c>
      <c r="AB59" t="str" cm="1">
        <f t="array" ref="AB59">_xlfn.IFS(I59&gt;=2000,"Excellent",I59&gt;=1000,"Good",I59&gt;=500,"Average",TRUE,"Low")</f>
        <v>Average</v>
      </c>
      <c r="AC59" t="str">
        <f t="shared" si="2"/>
        <v>normal</v>
      </c>
      <c r="AD59" t="str">
        <f t="shared" si="3"/>
        <v>card</v>
      </c>
      <c r="AE59" t="str">
        <f t="shared" si="4"/>
        <v>Not Eligible</v>
      </c>
    </row>
    <row r="60" spans="1:31" x14ac:dyDescent="0.3">
      <c r="A60" t="s">
        <v>165</v>
      </c>
      <c r="B60" s="7" t="s">
        <v>166</v>
      </c>
      <c r="C60" s="7" t="s">
        <v>42</v>
      </c>
      <c r="D60" s="7" t="s">
        <v>43</v>
      </c>
      <c r="E60" s="7" t="s">
        <v>48</v>
      </c>
      <c r="F60" s="7" t="s">
        <v>59</v>
      </c>
      <c r="G60" s="7">
        <v>60</v>
      </c>
      <c r="H60" s="7">
        <v>14</v>
      </c>
      <c r="I60" s="7">
        <f t="shared" si="5"/>
        <v>840</v>
      </c>
      <c r="J60" s="7" t="s">
        <v>29</v>
      </c>
      <c r="K60" s="7">
        <v>4.3</v>
      </c>
      <c r="AA60" t="str">
        <f t="shared" si="1"/>
        <v>low scale</v>
      </c>
      <c r="AB60" t="str" cm="1">
        <f t="array" ref="AB60">_xlfn.IFS(I60&gt;=2000,"Excellent",I60&gt;=1000,"Good",I60&gt;=500,"Average",TRUE,"Low")</f>
        <v>Average</v>
      </c>
      <c r="AC60" t="str">
        <f t="shared" si="2"/>
        <v>normal</v>
      </c>
      <c r="AD60" t="str">
        <f t="shared" si="3"/>
        <v>card</v>
      </c>
      <c r="AE60" t="str">
        <f t="shared" si="4"/>
        <v>Not Eligible</v>
      </c>
    </row>
    <row r="61" spans="1:31" x14ac:dyDescent="0.3">
      <c r="A61" t="s">
        <v>167</v>
      </c>
      <c r="B61" s="7" t="s">
        <v>168</v>
      </c>
      <c r="C61" s="7" t="s">
        <v>12</v>
      </c>
      <c r="D61" s="7" t="s">
        <v>13</v>
      </c>
      <c r="E61" s="7" t="s">
        <v>44</v>
      </c>
      <c r="F61" s="7" t="s">
        <v>169</v>
      </c>
      <c r="G61" s="7">
        <v>220</v>
      </c>
      <c r="H61" s="7">
        <v>14</v>
      </c>
      <c r="I61" s="7">
        <f t="shared" si="5"/>
        <v>3080</v>
      </c>
      <c r="J61" s="7" t="s">
        <v>39</v>
      </c>
      <c r="K61" s="7">
        <v>5</v>
      </c>
      <c r="AA61" t="str">
        <f t="shared" si="1"/>
        <v>high value</v>
      </c>
      <c r="AB61" t="str" cm="1">
        <f t="array" ref="AB61">_xlfn.IFS(I61&gt;=2000,"Excellent",I61&gt;=1000,"Good",I61&gt;=500,"Average",TRUE,"Low")</f>
        <v>Excellent</v>
      </c>
      <c r="AC61" t="str">
        <f t="shared" si="2"/>
        <v>top transaction</v>
      </c>
      <c r="AD61" t="str">
        <f t="shared" si="3"/>
        <v>display digital</v>
      </c>
      <c r="AE61" t="str">
        <f t="shared" si="4"/>
        <v>Eligible</v>
      </c>
    </row>
    <row r="62" spans="1:31" x14ac:dyDescent="0.3">
      <c r="A62" t="s">
        <v>170</v>
      </c>
      <c r="B62" s="7" t="s">
        <v>171</v>
      </c>
      <c r="C62" s="7" t="s">
        <v>26</v>
      </c>
      <c r="D62" s="7" t="s">
        <v>27</v>
      </c>
      <c r="E62" s="7" t="s">
        <v>14</v>
      </c>
      <c r="F62" s="7" t="s">
        <v>32</v>
      </c>
      <c r="G62" s="7">
        <v>80</v>
      </c>
      <c r="H62" s="7">
        <v>7</v>
      </c>
      <c r="I62" s="7">
        <f t="shared" si="5"/>
        <v>560</v>
      </c>
      <c r="J62" s="7" t="s">
        <v>39</v>
      </c>
      <c r="K62" s="7">
        <v>5</v>
      </c>
      <c r="AA62" t="str">
        <f t="shared" si="1"/>
        <v>low scale</v>
      </c>
      <c r="AB62" t="str" cm="1">
        <f t="array" ref="AB62">_xlfn.IFS(I62&gt;=2000,"Excellent",I62&gt;=1000,"Good",I62&gt;=500,"Average",TRUE,"Low")</f>
        <v>Average</v>
      </c>
      <c r="AC62" t="str">
        <f t="shared" si="2"/>
        <v>normal</v>
      </c>
      <c r="AD62" t="str">
        <f t="shared" si="3"/>
        <v>display digital</v>
      </c>
      <c r="AE62" t="str">
        <f t="shared" si="4"/>
        <v>Not Eligible</v>
      </c>
    </row>
    <row r="63" spans="1:31" x14ac:dyDescent="0.3">
      <c r="A63" t="s">
        <v>172</v>
      </c>
      <c r="B63" s="7" t="s">
        <v>173</v>
      </c>
      <c r="C63" s="7" t="s">
        <v>26</v>
      </c>
      <c r="D63" s="7" t="s">
        <v>27</v>
      </c>
      <c r="E63" s="7" t="s">
        <v>14</v>
      </c>
      <c r="F63" s="7" t="s">
        <v>32</v>
      </c>
      <c r="G63" s="7">
        <v>140</v>
      </c>
      <c r="H63" s="7">
        <v>13</v>
      </c>
      <c r="I63" s="7">
        <f t="shared" si="5"/>
        <v>1820</v>
      </c>
      <c r="J63" s="7" t="s">
        <v>39</v>
      </c>
      <c r="K63" s="7">
        <v>4.8</v>
      </c>
      <c r="AA63" t="str">
        <f t="shared" si="1"/>
        <v>high value</v>
      </c>
      <c r="AB63" t="str" cm="1">
        <f t="array" ref="AB63">_xlfn.IFS(I63&gt;=2000,"Excellent",I63&gt;=1000,"Good",I63&gt;=500,"Average",TRUE,"Low")</f>
        <v>Good</v>
      </c>
      <c r="AC63" t="str">
        <f t="shared" si="2"/>
        <v>top transaction</v>
      </c>
      <c r="AD63" t="str">
        <f t="shared" si="3"/>
        <v>display digital</v>
      </c>
      <c r="AE63" t="str">
        <f t="shared" si="4"/>
        <v>Eligible</v>
      </c>
    </row>
    <row r="64" spans="1:31" x14ac:dyDescent="0.3">
      <c r="A64" t="s">
        <v>174</v>
      </c>
      <c r="B64" s="7" t="s">
        <v>175</v>
      </c>
      <c r="C64" s="7" t="s">
        <v>54</v>
      </c>
      <c r="D64" s="7" t="s">
        <v>55</v>
      </c>
      <c r="E64" s="7" t="s">
        <v>19</v>
      </c>
      <c r="F64" s="7" t="s">
        <v>97</v>
      </c>
      <c r="G64" s="7">
        <v>48</v>
      </c>
      <c r="H64" s="7">
        <v>14</v>
      </c>
      <c r="I64" s="7">
        <f t="shared" si="5"/>
        <v>672</v>
      </c>
      <c r="J64" s="7" t="s">
        <v>39</v>
      </c>
      <c r="K64" s="7">
        <v>4.2</v>
      </c>
      <c r="AA64" t="str">
        <f t="shared" si="1"/>
        <v>low scale</v>
      </c>
      <c r="AB64" t="str" cm="1">
        <f t="array" ref="AB64">_xlfn.IFS(I64&gt;=2000,"Excellent",I64&gt;=1000,"Good",I64&gt;=500,"Average",TRUE,"Low")</f>
        <v>Average</v>
      </c>
      <c r="AC64" t="str">
        <f t="shared" si="2"/>
        <v>normal</v>
      </c>
      <c r="AD64" t="str">
        <f t="shared" si="3"/>
        <v>display digital</v>
      </c>
      <c r="AE64" t="str">
        <f t="shared" si="4"/>
        <v>Not Eligible</v>
      </c>
    </row>
    <row r="65" spans="1:31" x14ac:dyDescent="0.3">
      <c r="A65" t="s">
        <v>176</v>
      </c>
      <c r="B65" s="7" t="s">
        <v>177</v>
      </c>
      <c r="C65" s="7" t="s">
        <v>12</v>
      </c>
      <c r="D65" s="7" t="s">
        <v>13</v>
      </c>
      <c r="E65" s="7" t="s">
        <v>73</v>
      </c>
      <c r="F65" s="7" t="s">
        <v>128</v>
      </c>
      <c r="G65" s="7">
        <v>220</v>
      </c>
      <c r="H65" s="7">
        <v>19</v>
      </c>
      <c r="I65" s="7">
        <f t="shared" si="5"/>
        <v>4180</v>
      </c>
      <c r="J65" s="7" t="s">
        <v>39</v>
      </c>
      <c r="K65" s="7">
        <v>4.7</v>
      </c>
      <c r="AA65" t="str">
        <f t="shared" si="1"/>
        <v>high value</v>
      </c>
      <c r="AB65" t="str" cm="1">
        <f t="array" ref="AB65">_xlfn.IFS(I65&gt;=2000,"Excellent",I65&gt;=1000,"Good",I65&gt;=500,"Average",TRUE,"Low")</f>
        <v>Excellent</v>
      </c>
      <c r="AC65" t="str">
        <f t="shared" si="2"/>
        <v>top transaction</v>
      </c>
      <c r="AD65" t="str">
        <f t="shared" si="3"/>
        <v>display digital</v>
      </c>
      <c r="AE65" t="str">
        <f t="shared" si="4"/>
        <v>Eligible</v>
      </c>
    </row>
    <row r="66" spans="1:31" x14ac:dyDescent="0.3">
      <c r="A66" t="s">
        <v>178</v>
      </c>
      <c r="B66" s="7" t="s">
        <v>179</v>
      </c>
      <c r="C66" s="7" t="s">
        <v>42</v>
      </c>
      <c r="D66" s="7" t="s">
        <v>43</v>
      </c>
      <c r="E66" s="7" t="s">
        <v>44</v>
      </c>
      <c r="F66" s="7" t="s">
        <v>107</v>
      </c>
      <c r="G66" s="7">
        <v>40</v>
      </c>
      <c r="H66" s="7">
        <v>23</v>
      </c>
      <c r="I66" s="7">
        <f t="shared" ref="I66:I86" si="6">G66*H66</f>
        <v>920</v>
      </c>
      <c r="J66" s="7" t="s">
        <v>29</v>
      </c>
      <c r="K66" s="7">
        <v>4.5999999999999996</v>
      </c>
      <c r="AA66" t="str">
        <f t="shared" si="1"/>
        <v>low scale</v>
      </c>
      <c r="AB66" t="str" cm="1">
        <f t="array" ref="AB66">_xlfn.IFS(I66&gt;=2000,"Excellent",I66&gt;=1000,"Good",I66&gt;=500,"Average",TRUE,"Low")</f>
        <v>Average</v>
      </c>
      <c r="AC66" t="str">
        <f t="shared" si="2"/>
        <v>normal</v>
      </c>
      <c r="AD66" t="str">
        <f t="shared" si="3"/>
        <v>card</v>
      </c>
      <c r="AE66" t="str">
        <f t="shared" si="4"/>
        <v>Not Eligible</v>
      </c>
    </row>
    <row r="67" spans="1:31" x14ac:dyDescent="0.3">
      <c r="A67" t="s">
        <v>180</v>
      </c>
      <c r="B67" s="7" t="s">
        <v>181</v>
      </c>
      <c r="C67" s="7" t="s">
        <v>12</v>
      </c>
      <c r="D67" s="7" t="s">
        <v>13</v>
      </c>
      <c r="E67" s="7" t="s">
        <v>44</v>
      </c>
      <c r="F67" s="7" t="s">
        <v>56</v>
      </c>
      <c r="G67" s="7">
        <v>90</v>
      </c>
      <c r="H67" s="7">
        <v>23</v>
      </c>
      <c r="I67" s="7">
        <f t="shared" si="6"/>
        <v>2070</v>
      </c>
      <c r="J67" s="7" t="s">
        <v>29</v>
      </c>
      <c r="K67" s="7">
        <v>4.3</v>
      </c>
      <c r="AA67" t="str">
        <f t="shared" ref="AA67:AA86" si="7">IF(I67&gt;=1000,"high value","low scale")</f>
        <v>high value</v>
      </c>
      <c r="AB67" t="str" cm="1">
        <f t="array" ref="AB67">_xlfn.IFS(I67&gt;=2000,"Excellent",I67&gt;=1000,"Good",I67&gt;=500,"Average",TRUE,"Low")</f>
        <v>Excellent</v>
      </c>
      <c r="AC67" t="str">
        <f t="shared" ref="AC67:AC86" si="8">IF(AND(I67&gt;=1000,K67&gt;=4.5),"top transaction","normal")</f>
        <v>normal</v>
      </c>
      <c r="AD67" t="str">
        <f t="shared" ref="AD67:AD86" si="9">IF(OR(J67="UPI",J67="card"),"display digital","card")</f>
        <v>card</v>
      </c>
      <c r="AE67" t="str">
        <f t="shared" ref="AE67:AE86" si="10">IF(AND(I67&gt;=1000,OR(J67="UPI",J67="Card")),"Eligible","Not Eligible")</f>
        <v>Not Eligible</v>
      </c>
    </row>
    <row r="68" spans="1:31" x14ac:dyDescent="0.3">
      <c r="A68" t="s">
        <v>182</v>
      </c>
      <c r="B68" s="7" t="s">
        <v>183</v>
      </c>
      <c r="C68" s="7" t="s">
        <v>26</v>
      </c>
      <c r="D68" s="7" t="s">
        <v>27</v>
      </c>
      <c r="E68" s="7" t="s">
        <v>19</v>
      </c>
      <c r="F68" s="7" t="s">
        <v>23</v>
      </c>
      <c r="G68" s="7">
        <v>60</v>
      </c>
      <c r="H68" s="7">
        <v>15</v>
      </c>
      <c r="I68" s="7">
        <f t="shared" si="6"/>
        <v>900</v>
      </c>
      <c r="J68" s="7" t="s">
        <v>39</v>
      </c>
      <c r="K68" s="7">
        <v>4.9000000000000004</v>
      </c>
      <c r="AA68" t="str">
        <f t="shared" si="7"/>
        <v>low scale</v>
      </c>
      <c r="AB68" t="str" cm="1">
        <f t="array" ref="AB68">_xlfn.IFS(I68&gt;=2000,"Excellent",I68&gt;=1000,"Good",I68&gt;=500,"Average",TRUE,"Low")</f>
        <v>Average</v>
      </c>
      <c r="AC68" t="str">
        <f t="shared" si="8"/>
        <v>normal</v>
      </c>
      <c r="AD68" t="str">
        <f t="shared" si="9"/>
        <v>display digital</v>
      </c>
      <c r="AE68" t="str">
        <f t="shared" si="10"/>
        <v>Not Eligible</v>
      </c>
    </row>
    <row r="69" spans="1:31" x14ac:dyDescent="0.3">
      <c r="A69" t="s">
        <v>184</v>
      </c>
      <c r="B69" s="7" t="s">
        <v>185</v>
      </c>
      <c r="C69" s="7" t="s">
        <v>42</v>
      </c>
      <c r="D69" s="7" t="s">
        <v>43</v>
      </c>
      <c r="E69" s="7" t="s">
        <v>19</v>
      </c>
      <c r="F69" s="7" t="s">
        <v>97</v>
      </c>
      <c r="G69" s="7">
        <v>90</v>
      </c>
      <c r="H69" s="7">
        <v>14</v>
      </c>
      <c r="I69" s="7">
        <f t="shared" si="6"/>
        <v>1260</v>
      </c>
      <c r="J69" s="7" t="s">
        <v>39</v>
      </c>
      <c r="K69" s="7">
        <v>4.8</v>
      </c>
      <c r="AA69" t="str">
        <f t="shared" si="7"/>
        <v>high value</v>
      </c>
      <c r="AB69" t="str" cm="1">
        <f t="array" ref="AB69">_xlfn.IFS(I69&gt;=2000,"Excellent",I69&gt;=1000,"Good",I69&gt;=500,"Average",TRUE,"Low")</f>
        <v>Good</v>
      </c>
      <c r="AC69" t="str">
        <f t="shared" si="8"/>
        <v>top transaction</v>
      </c>
      <c r="AD69" t="str">
        <f t="shared" si="9"/>
        <v>display digital</v>
      </c>
      <c r="AE69" t="str">
        <f t="shared" si="10"/>
        <v>Eligible</v>
      </c>
    </row>
    <row r="70" spans="1:31" x14ac:dyDescent="0.3">
      <c r="A70" t="s">
        <v>186</v>
      </c>
      <c r="B70" s="7" t="s">
        <v>187</v>
      </c>
      <c r="C70" s="7" t="s">
        <v>26</v>
      </c>
      <c r="D70" s="7" t="s">
        <v>27</v>
      </c>
      <c r="E70" s="7" t="s">
        <v>44</v>
      </c>
      <c r="F70" s="7" t="s">
        <v>68</v>
      </c>
      <c r="G70" s="7">
        <v>140</v>
      </c>
      <c r="H70" s="7">
        <v>20</v>
      </c>
      <c r="I70" s="7">
        <f t="shared" si="6"/>
        <v>2800</v>
      </c>
      <c r="J70" s="7" t="s">
        <v>39</v>
      </c>
      <c r="K70" s="7">
        <v>4.7</v>
      </c>
      <c r="AA70" t="str">
        <f t="shared" si="7"/>
        <v>high value</v>
      </c>
      <c r="AB70" t="str" cm="1">
        <f t="array" ref="AB70">_xlfn.IFS(I70&gt;=2000,"Excellent",I70&gt;=1000,"Good",I70&gt;=500,"Average",TRUE,"Low")</f>
        <v>Excellent</v>
      </c>
      <c r="AC70" t="str">
        <f t="shared" si="8"/>
        <v>top transaction</v>
      </c>
      <c r="AD70" t="str">
        <f t="shared" si="9"/>
        <v>display digital</v>
      </c>
      <c r="AE70" t="str">
        <f t="shared" si="10"/>
        <v>Eligible</v>
      </c>
    </row>
    <row r="71" spans="1:31" x14ac:dyDescent="0.3">
      <c r="A71" t="s">
        <v>188</v>
      </c>
      <c r="B71" s="7" t="s">
        <v>189</v>
      </c>
      <c r="C71" s="7" t="s">
        <v>54</v>
      </c>
      <c r="D71" s="7" t="s">
        <v>55</v>
      </c>
      <c r="E71" s="7" t="s">
        <v>73</v>
      </c>
      <c r="F71" s="7" t="s">
        <v>190</v>
      </c>
      <c r="G71" s="7">
        <v>60</v>
      </c>
      <c r="H71" s="7">
        <v>18</v>
      </c>
      <c r="I71" s="7">
        <f t="shared" si="6"/>
        <v>1080</v>
      </c>
      <c r="J71" s="7" t="s">
        <v>29</v>
      </c>
      <c r="K71" s="7">
        <v>4.8</v>
      </c>
      <c r="AA71" t="str">
        <f t="shared" si="7"/>
        <v>high value</v>
      </c>
      <c r="AB71" t="str" cm="1">
        <f t="array" ref="AB71">_xlfn.IFS(I71&gt;=2000,"Excellent",I71&gt;=1000,"Good",I71&gt;=500,"Average",TRUE,"Low")</f>
        <v>Good</v>
      </c>
      <c r="AC71" t="str">
        <f t="shared" si="8"/>
        <v>top transaction</v>
      </c>
      <c r="AD71" t="str">
        <f t="shared" si="9"/>
        <v>card</v>
      </c>
      <c r="AE71" t="str">
        <f t="shared" si="10"/>
        <v>Not Eligible</v>
      </c>
    </row>
    <row r="72" spans="1:31" x14ac:dyDescent="0.3">
      <c r="A72" t="s">
        <v>191</v>
      </c>
      <c r="B72" s="7" t="s">
        <v>192</v>
      </c>
      <c r="C72" s="7" t="s">
        <v>42</v>
      </c>
      <c r="D72" s="7" t="s">
        <v>43</v>
      </c>
      <c r="E72" s="7" t="s">
        <v>14</v>
      </c>
      <c r="F72" s="7" t="s">
        <v>15</v>
      </c>
      <c r="G72" s="7">
        <v>220</v>
      </c>
      <c r="H72" s="7">
        <v>23</v>
      </c>
      <c r="I72" s="7">
        <f t="shared" si="6"/>
        <v>5060</v>
      </c>
      <c r="J72" s="7" t="s">
        <v>39</v>
      </c>
      <c r="K72" s="7">
        <v>4.5999999999999996</v>
      </c>
      <c r="AA72" t="str">
        <f t="shared" si="7"/>
        <v>high value</v>
      </c>
      <c r="AB72" t="str" cm="1">
        <f t="array" ref="AB72">_xlfn.IFS(I72&gt;=2000,"Excellent",I72&gt;=1000,"Good",I72&gt;=500,"Average",TRUE,"Low")</f>
        <v>Excellent</v>
      </c>
      <c r="AC72" t="str">
        <f t="shared" si="8"/>
        <v>top transaction</v>
      </c>
      <c r="AD72" t="str">
        <f t="shared" si="9"/>
        <v>display digital</v>
      </c>
      <c r="AE72" t="str">
        <f t="shared" si="10"/>
        <v>Eligible</v>
      </c>
    </row>
    <row r="73" spans="1:31" x14ac:dyDescent="0.3">
      <c r="A73" t="s">
        <v>193</v>
      </c>
      <c r="B73" s="7" t="s">
        <v>194</v>
      </c>
      <c r="C73" s="7" t="s">
        <v>12</v>
      </c>
      <c r="D73" s="7" t="s">
        <v>13</v>
      </c>
      <c r="E73" s="7" t="s">
        <v>48</v>
      </c>
      <c r="F73" s="7" t="s">
        <v>49</v>
      </c>
      <c r="G73" s="7">
        <v>70</v>
      </c>
      <c r="H73" s="7">
        <v>8</v>
      </c>
      <c r="I73" s="7">
        <f t="shared" si="6"/>
        <v>560</v>
      </c>
      <c r="J73" s="7" t="s">
        <v>16</v>
      </c>
      <c r="K73" s="7">
        <v>4</v>
      </c>
      <c r="AA73" t="str">
        <f t="shared" si="7"/>
        <v>low scale</v>
      </c>
      <c r="AB73" t="str" cm="1">
        <f t="array" ref="AB73">_xlfn.IFS(I73&gt;=2000,"Excellent",I73&gt;=1000,"Good",I73&gt;=500,"Average",TRUE,"Low")</f>
        <v>Average</v>
      </c>
      <c r="AC73" t="str">
        <f t="shared" si="8"/>
        <v>normal</v>
      </c>
      <c r="AD73" t="str">
        <f t="shared" si="9"/>
        <v>display digital</v>
      </c>
      <c r="AE73" t="str">
        <f t="shared" si="10"/>
        <v>Not Eligible</v>
      </c>
    </row>
    <row r="74" spans="1:31" x14ac:dyDescent="0.3">
      <c r="A74" t="s">
        <v>195</v>
      </c>
      <c r="B74" s="7" t="s">
        <v>196</v>
      </c>
      <c r="C74" s="7" t="s">
        <v>42</v>
      </c>
      <c r="D74" s="7" t="s">
        <v>43</v>
      </c>
      <c r="E74" s="7" t="s">
        <v>73</v>
      </c>
      <c r="F74" s="7" t="s">
        <v>74</v>
      </c>
      <c r="G74" s="7">
        <v>40</v>
      </c>
      <c r="H74" s="7">
        <v>16</v>
      </c>
      <c r="I74" s="7">
        <f t="shared" si="6"/>
        <v>640</v>
      </c>
      <c r="J74" s="7" t="s">
        <v>29</v>
      </c>
      <c r="K74" s="7">
        <v>4.9000000000000004</v>
      </c>
      <c r="AA74" t="str">
        <f t="shared" si="7"/>
        <v>low scale</v>
      </c>
      <c r="AB74" t="str" cm="1">
        <f t="array" ref="AB74">_xlfn.IFS(I74&gt;=2000,"Excellent",I74&gt;=1000,"Good",I74&gt;=500,"Average",TRUE,"Low")</f>
        <v>Average</v>
      </c>
      <c r="AC74" t="str">
        <f t="shared" si="8"/>
        <v>normal</v>
      </c>
      <c r="AD74" t="str">
        <f t="shared" si="9"/>
        <v>card</v>
      </c>
      <c r="AE74" t="str">
        <f t="shared" si="10"/>
        <v>Not Eligible</v>
      </c>
    </row>
    <row r="75" spans="1:31" x14ac:dyDescent="0.3">
      <c r="A75" t="s">
        <v>197</v>
      </c>
      <c r="B75" s="7" t="s">
        <v>198</v>
      </c>
      <c r="C75" s="7" t="s">
        <v>42</v>
      </c>
      <c r="D75" s="7" t="s">
        <v>43</v>
      </c>
      <c r="E75" s="7" t="s">
        <v>73</v>
      </c>
      <c r="F75" s="7" t="s">
        <v>190</v>
      </c>
      <c r="G75" s="7">
        <v>120</v>
      </c>
      <c r="H75" s="7">
        <v>9</v>
      </c>
      <c r="I75" s="7">
        <f t="shared" si="6"/>
        <v>1080</v>
      </c>
      <c r="J75" s="7" t="s">
        <v>16</v>
      </c>
      <c r="K75" s="7">
        <v>4.7</v>
      </c>
      <c r="AA75" t="str">
        <f t="shared" si="7"/>
        <v>high value</v>
      </c>
      <c r="AB75" t="str" cm="1">
        <f t="array" ref="AB75">_xlfn.IFS(I75&gt;=2000,"Excellent",I75&gt;=1000,"Good",I75&gt;=500,"Average",TRUE,"Low")</f>
        <v>Good</v>
      </c>
      <c r="AC75" t="str">
        <f t="shared" si="8"/>
        <v>top transaction</v>
      </c>
      <c r="AD75" t="str">
        <f t="shared" si="9"/>
        <v>display digital</v>
      </c>
      <c r="AE75" t="str">
        <f t="shared" si="10"/>
        <v>Eligible</v>
      </c>
    </row>
    <row r="76" spans="1:31" x14ac:dyDescent="0.3">
      <c r="A76" t="s">
        <v>199</v>
      </c>
      <c r="B76" s="7" t="s">
        <v>200</v>
      </c>
      <c r="C76" s="7" t="s">
        <v>12</v>
      </c>
      <c r="D76" s="7" t="s">
        <v>13</v>
      </c>
      <c r="E76" s="7" t="s">
        <v>14</v>
      </c>
      <c r="F76" s="7" t="s">
        <v>35</v>
      </c>
      <c r="G76" s="7">
        <v>70</v>
      </c>
      <c r="H76" s="7">
        <v>7</v>
      </c>
      <c r="I76" s="7">
        <f t="shared" si="6"/>
        <v>490</v>
      </c>
      <c r="J76" s="7" t="s">
        <v>39</v>
      </c>
      <c r="K76" s="7">
        <v>4.5</v>
      </c>
      <c r="AA76" t="str">
        <f t="shared" si="7"/>
        <v>low scale</v>
      </c>
      <c r="AB76" t="str" cm="1">
        <f t="array" ref="AB76">_xlfn.IFS(I76&gt;=2000,"Excellent",I76&gt;=1000,"Good",I76&gt;=500,"Average",TRUE,"Low")</f>
        <v>Low</v>
      </c>
      <c r="AC76" t="str">
        <f t="shared" si="8"/>
        <v>normal</v>
      </c>
      <c r="AD76" t="str">
        <f t="shared" si="9"/>
        <v>display digital</v>
      </c>
      <c r="AE76" t="str">
        <f t="shared" si="10"/>
        <v>Not Eligible</v>
      </c>
    </row>
    <row r="77" spans="1:31" x14ac:dyDescent="0.3">
      <c r="A77" t="s">
        <v>201</v>
      </c>
      <c r="B77" s="7" t="s">
        <v>202</v>
      </c>
      <c r="C77" s="7" t="s">
        <v>12</v>
      </c>
      <c r="D77" s="7" t="s">
        <v>13</v>
      </c>
      <c r="E77" s="7" t="s">
        <v>19</v>
      </c>
      <c r="F77" s="7" t="s">
        <v>23</v>
      </c>
      <c r="G77" s="7">
        <v>48</v>
      </c>
      <c r="H77" s="7">
        <v>16</v>
      </c>
      <c r="I77" s="7">
        <f t="shared" si="6"/>
        <v>768</v>
      </c>
      <c r="J77" s="7" t="s">
        <v>16</v>
      </c>
      <c r="K77" s="7">
        <v>4.8</v>
      </c>
      <c r="AA77" t="str">
        <f t="shared" si="7"/>
        <v>low scale</v>
      </c>
      <c r="AB77" t="str" cm="1">
        <f t="array" ref="AB77">_xlfn.IFS(I77&gt;=2000,"Excellent",I77&gt;=1000,"Good",I77&gt;=500,"Average",TRUE,"Low")</f>
        <v>Average</v>
      </c>
      <c r="AC77" t="str">
        <f t="shared" si="8"/>
        <v>normal</v>
      </c>
      <c r="AD77" t="str">
        <f t="shared" si="9"/>
        <v>display digital</v>
      </c>
      <c r="AE77" t="str">
        <f t="shared" si="10"/>
        <v>Not Eligible</v>
      </c>
    </row>
    <row r="78" spans="1:31" x14ac:dyDescent="0.3">
      <c r="A78" t="s">
        <v>203</v>
      </c>
      <c r="B78" s="7" t="s">
        <v>204</v>
      </c>
      <c r="C78" s="7" t="s">
        <v>26</v>
      </c>
      <c r="D78" s="7" t="s">
        <v>27</v>
      </c>
      <c r="E78" s="7" t="s">
        <v>73</v>
      </c>
      <c r="F78" s="7" t="s">
        <v>74</v>
      </c>
      <c r="G78" s="7">
        <v>220</v>
      </c>
      <c r="H78" s="7">
        <v>15</v>
      </c>
      <c r="I78" s="7">
        <f t="shared" si="6"/>
        <v>3300</v>
      </c>
      <c r="J78" s="7" t="s">
        <v>39</v>
      </c>
      <c r="K78" s="7">
        <v>4.4000000000000004</v>
      </c>
      <c r="AA78" t="str">
        <f t="shared" si="7"/>
        <v>high value</v>
      </c>
      <c r="AB78" t="str" cm="1">
        <f t="array" ref="AB78">_xlfn.IFS(I78&gt;=2000,"Excellent",I78&gt;=1000,"Good",I78&gt;=500,"Average",TRUE,"Low")</f>
        <v>Excellent</v>
      </c>
      <c r="AC78" t="str">
        <f t="shared" si="8"/>
        <v>normal</v>
      </c>
      <c r="AD78" t="str">
        <f t="shared" si="9"/>
        <v>display digital</v>
      </c>
      <c r="AE78" t="str">
        <f t="shared" si="10"/>
        <v>Eligible</v>
      </c>
    </row>
    <row r="79" spans="1:31" x14ac:dyDescent="0.3">
      <c r="A79" t="s">
        <v>205</v>
      </c>
      <c r="B79" s="7" t="s">
        <v>206</v>
      </c>
      <c r="C79" s="7" t="s">
        <v>42</v>
      </c>
      <c r="D79" s="7" t="s">
        <v>43</v>
      </c>
      <c r="E79" s="7" t="s">
        <v>73</v>
      </c>
      <c r="F79" s="7" t="s">
        <v>190</v>
      </c>
      <c r="G79" s="7">
        <v>80</v>
      </c>
      <c r="H79" s="7">
        <v>9</v>
      </c>
      <c r="I79" s="7">
        <f t="shared" si="6"/>
        <v>720</v>
      </c>
      <c r="J79" s="7" t="s">
        <v>39</v>
      </c>
      <c r="K79" s="7">
        <v>4.3</v>
      </c>
      <c r="AA79" t="str">
        <f t="shared" si="7"/>
        <v>low scale</v>
      </c>
      <c r="AB79" t="str" cm="1">
        <f t="array" ref="AB79">_xlfn.IFS(I79&gt;=2000,"Excellent",I79&gt;=1000,"Good",I79&gt;=500,"Average",TRUE,"Low")</f>
        <v>Average</v>
      </c>
      <c r="AC79" t="str">
        <f t="shared" si="8"/>
        <v>normal</v>
      </c>
      <c r="AD79" t="str">
        <f t="shared" si="9"/>
        <v>display digital</v>
      </c>
      <c r="AE79" t="str">
        <f t="shared" si="10"/>
        <v>Not Eligible</v>
      </c>
    </row>
    <row r="80" spans="1:31" x14ac:dyDescent="0.3">
      <c r="A80" t="s">
        <v>207</v>
      </c>
      <c r="B80" s="7" t="s">
        <v>208</v>
      </c>
      <c r="C80" s="7" t="s">
        <v>54</v>
      </c>
      <c r="D80" s="7" t="s">
        <v>55</v>
      </c>
      <c r="E80" s="7" t="s">
        <v>48</v>
      </c>
      <c r="F80" s="7" t="s">
        <v>49</v>
      </c>
      <c r="G80" s="7">
        <v>150</v>
      </c>
      <c r="H80" s="7">
        <v>4</v>
      </c>
      <c r="I80" s="7">
        <f t="shared" si="6"/>
        <v>600</v>
      </c>
      <c r="J80" s="7" t="s">
        <v>39</v>
      </c>
      <c r="K80" s="7">
        <v>4.3</v>
      </c>
      <c r="AA80" t="str">
        <f t="shared" si="7"/>
        <v>low scale</v>
      </c>
      <c r="AB80" t="str" cm="1">
        <f t="array" ref="AB80">_xlfn.IFS(I80&gt;=2000,"Excellent",I80&gt;=1000,"Good",I80&gt;=500,"Average",TRUE,"Low")</f>
        <v>Average</v>
      </c>
      <c r="AC80" t="str">
        <f t="shared" si="8"/>
        <v>normal</v>
      </c>
      <c r="AD80" t="str">
        <f t="shared" si="9"/>
        <v>display digital</v>
      </c>
      <c r="AE80" t="str">
        <f t="shared" si="10"/>
        <v>Not Eligible</v>
      </c>
    </row>
    <row r="81" spans="1:31" x14ac:dyDescent="0.3">
      <c r="A81" t="s">
        <v>209</v>
      </c>
      <c r="B81" s="7" t="s">
        <v>210</v>
      </c>
      <c r="C81" s="7" t="s">
        <v>26</v>
      </c>
      <c r="D81" s="7" t="s">
        <v>27</v>
      </c>
      <c r="E81" s="7" t="s">
        <v>44</v>
      </c>
      <c r="F81" s="7" t="s">
        <v>169</v>
      </c>
      <c r="G81" s="7">
        <v>250</v>
      </c>
      <c r="H81" s="7">
        <v>4</v>
      </c>
      <c r="I81" s="7">
        <f t="shared" si="6"/>
        <v>1000</v>
      </c>
      <c r="J81" s="7" t="s">
        <v>16</v>
      </c>
      <c r="K81" s="7">
        <v>4.2</v>
      </c>
      <c r="AA81" t="str">
        <f t="shared" si="7"/>
        <v>high value</v>
      </c>
      <c r="AB81" t="str" cm="1">
        <f t="array" ref="AB81">_xlfn.IFS(I81&gt;=2000,"Excellent",I81&gt;=1000,"Good",I81&gt;=500,"Average",TRUE,"Low")</f>
        <v>Good</v>
      </c>
      <c r="AC81" t="str">
        <f t="shared" si="8"/>
        <v>normal</v>
      </c>
      <c r="AD81" t="str">
        <f t="shared" si="9"/>
        <v>display digital</v>
      </c>
      <c r="AE81" t="str">
        <f t="shared" si="10"/>
        <v>Eligible</v>
      </c>
    </row>
    <row r="82" spans="1:31" x14ac:dyDescent="0.3">
      <c r="A82" t="s">
        <v>211</v>
      </c>
      <c r="B82" s="7" t="s">
        <v>212</v>
      </c>
      <c r="C82" s="7" t="s">
        <v>54</v>
      </c>
      <c r="D82" s="7" t="s">
        <v>55</v>
      </c>
      <c r="E82" s="7" t="s">
        <v>48</v>
      </c>
      <c r="F82" s="7" t="s">
        <v>160</v>
      </c>
      <c r="G82" s="7">
        <v>40</v>
      </c>
      <c r="H82" s="7">
        <v>15</v>
      </c>
      <c r="I82" s="7">
        <f t="shared" si="6"/>
        <v>600</v>
      </c>
      <c r="J82" s="7" t="s">
        <v>29</v>
      </c>
      <c r="K82" s="7">
        <v>4.3</v>
      </c>
      <c r="AA82" t="str">
        <f t="shared" si="7"/>
        <v>low scale</v>
      </c>
      <c r="AB82" t="str" cm="1">
        <f t="array" ref="AB82">_xlfn.IFS(I82&gt;=2000,"Excellent",I82&gt;=1000,"Good",I82&gt;=500,"Average",TRUE,"Low")</f>
        <v>Average</v>
      </c>
      <c r="AC82" t="str">
        <f t="shared" si="8"/>
        <v>normal</v>
      </c>
      <c r="AD82" t="str">
        <f t="shared" si="9"/>
        <v>card</v>
      </c>
      <c r="AE82" t="str">
        <f t="shared" si="10"/>
        <v>Not Eligible</v>
      </c>
    </row>
    <row r="83" spans="1:31" x14ac:dyDescent="0.3">
      <c r="A83" t="s">
        <v>213</v>
      </c>
      <c r="B83" s="7" t="s">
        <v>214</v>
      </c>
      <c r="C83" s="7" t="s">
        <v>54</v>
      </c>
      <c r="D83" s="7" t="s">
        <v>55</v>
      </c>
      <c r="E83" s="7" t="s">
        <v>73</v>
      </c>
      <c r="F83" s="7" t="s">
        <v>128</v>
      </c>
      <c r="G83" s="7">
        <v>60</v>
      </c>
      <c r="H83" s="7">
        <v>15</v>
      </c>
      <c r="I83" s="7">
        <f t="shared" si="6"/>
        <v>900</v>
      </c>
      <c r="J83" s="7" t="s">
        <v>29</v>
      </c>
      <c r="K83" s="7">
        <v>4.9000000000000004</v>
      </c>
      <c r="AA83" t="str">
        <f t="shared" si="7"/>
        <v>low scale</v>
      </c>
      <c r="AB83" t="str" cm="1">
        <f t="array" ref="AB83">_xlfn.IFS(I83&gt;=2000,"Excellent",I83&gt;=1000,"Good",I83&gt;=500,"Average",TRUE,"Low")</f>
        <v>Average</v>
      </c>
      <c r="AC83" t="str">
        <f t="shared" si="8"/>
        <v>normal</v>
      </c>
      <c r="AD83" t="str">
        <f t="shared" si="9"/>
        <v>card</v>
      </c>
      <c r="AE83" t="str">
        <f t="shared" si="10"/>
        <v>Not Eligible</v>
      </c>
    </row>
    <row r="84" spans="1:31" x14ac:dyDescent="0.3">
      <c r="A84" t="s">
        <v>215</v>
      </c>
      <c r="B84" s="7" t="s">
        <v>216</v>
      </c>
      <c r="C84" s="7" t="s">
        <v>12</v>
      </c>
      <c r="D84" s="7" t="s">
        <v>13</v>
      </c>
      <c r="E84" s="7" t="s">
        <v>19</v>
      </c>
      <c r="F84" s="7" t="s">
        <v>20</v>
      </c>
      <c r="G84" s="7">
        <v>180</v>
      </c>
      <c r="H84" s="7">
        <v>2</v>
      </c>
      <c r="I84" s="7">
        <f t="shared" si="6"/>
        <v>360</v>
      </c>
      <c r="J84" s="7" t="s">
        <v>29</v>
      </c>
      <c r="K84" s="7">
        <v>4.3</v>
      </c>
      <c r="AA84" t="str">
        <f t="shared" si="7"/>
        <v>low scale</v>
      </c>
      <c r="AB84" t="str" cm="1">
        <f t="array" ref="AB84">_xlfn.IFS(I84&gt;=2000,"Excellent",I84&gt;=1000,"Good",I84&gt;=500,"Average",TRUE,"Low")</f>
        <v>Low</v>
      </c>
      <c r="AC84" t="str">
        <f t="shared" si="8"/>
        <v>normal</v>
      </c>
      <c r="AD84" t="str">
        <f t="shared" si="9"/>
        <v>card</v>
      </c>
      <c r="AE84" t="str">
        <f t="shared" si="10"/>
        <v>Not Eligible</v>
      </c>
    </row>
    <row r="85" spans="1:31" x14ac:dyDescent="0.3">
      <c r="A85" t="s">
        <v>217</v>
      </c>
      <c r="B85" s="7" t="s">
        <v>218</v>
      </c>
      <c r="C85" s="7" t="s">
        <v>54</v>
      </c>
      <c r="D85" s="7" t="s">
        <v>55</v>
      </c>
      <c r="E85" s="7" t="s">
        <v>73</v>
      </c>
      <c r="F85" s="7" t="s">
        <v>74</v>
      </c>
      <c r="G85" s="7">
        <v>250</v>
      </c>
      <c r="H85" s="7">
        <v>21</v>
      </c>
      <c r="I85" s="7">
        <f t="shared" si="6"/>
        <v>5250</v>
      </c>
      <c r="J85" s="7" t="s">
        <v>16</v>
      </c>
      <c r="K85" s="7">
        <v>4.5</v>
      </c>
      <c r="AA85" t="str">
        <f t="shared" si="7"/>
        <v>high value</v>
      </c>
      <c r="AB85" t="str" cm="1">
        <f t="array" ref="AB85">_xlfn.IFS(I85&gt;=2000,"Excellent",I85&gt;=1000,"Good",I85&gt;=500,"Average",TRUE,"Low")</f>
        <v>Excellent</v>
      </c>
      <c r="AC85" t="str">
        <f t="shared" si="8"/>
        <v>top transaction</v>
      </c>
      <c r="AD85" t="str">
        <f t="shared" si="9"/>
        <v>display digital</v>
      </c>
      <c r="AE85" t="str">
        <f t="shared" si="10"/>
        <v>Eligible</v>
      </c>
    </row>
    <row r="86" spans="1:31" x14ac:dyDescent="0.3">
      <c r="A86" t="s">
        <v>219</v>
      </c>
      <c r="B86" s="7" t="s">
        <v>220</v>
      </c>
      <c r="C86" s="7" t="s">
        <v>26</v>
      </c>
      <c r="D86" s="7" t="s">
        <v>27</v>
      </c>
      <c r="E86" s="7" t="s">
        <v>73</v>
      </c>
      <c r="F86" s="7" t="s">
        <v>190</v>
      </c>
      <c r="G86" s="7">
        <v>30</v>
      </c>
      <c r="H86" s="7">
        <v>14</v>
      </c>
      <c r="I86" s="7">
        <f t="shared" si="6"/>
        <v>420</v>
      </c>
      <c r="J86" s="7" t="s">
        <v>29</v>
      </c>
      <c r="K86" s="7">
        <v>4.7</v>
      </c>
      <c r="AA86" t="str">
        <f t="shared" si="7"/>
        <v>low scale</v>
      </c>
      <c r="AB86" t="str" cm="1">
        <f t="array" ref="AB86">_xlfn.IFS(I86&gt;=2000,"Excellent",I86&gt;=1000,"Good",I86&gt;=500,"Average",TRUE,"Low")</f>
        <v>Low</v>
      </c>
      <c r="AC86" t="str">
        <f t="shared" si="8"/>
        <v>normal</v>
      </c>
      <c r="AD86" t="str">
        <f t="shared" si="9"/>
        <v>card</v>
      </c>
      <c r="AE86" t="str">
        <f t="shared" si="10"/>
        <v>Not Eligible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EDC8-771E-4060-A06A-AEE7EE50A0B7}">
  <dimension ref="A1"/>
  <sheetViews>
    <sheetView workbookViewId="0">
      <selection activeCell="B4" sqref="B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Sheet5</vt:lpstr>
      <vt:lpstr>Sheet4</vt:lpstr>
      <vt:lpstr>Sheet6</vt:lpstr>
      <vt:lpstr>Supermarket Sales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siddartha alpati</cp:lastModifiedBy>
  <dcterms:created xsi:type="dcterms:W3CDTF">2026-07-10T16:29:01Z</dcterms:created>
  <dcterms:modified xsi:type="dcterms:W3CDTF">2026-07-20T17:12:01Z</dcterms:modified>
</cp:coreProperties>
</file>